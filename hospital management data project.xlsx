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6.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ELL\OneDrive\Desktop\Excel Project\"/>
    </mc:Choice>
  </mc:AlternateContent>
  <xr:revisionPtr revIDLastSave="3" documentId="6_{453083C2-1F00-458D-9FEA-508F512B8837}" xr6:coauthVersionLast="36" xr6:coauthVersionMax="36" xr10:uidLastSave="{EB844536-1742-4724-B3C9-65E38BEB9F13}"/>
  <bookViews>
    <workbookView xWindow="0" yWindow="0" windowWidth="20490" windowHeight="6825" activeTab="4" xr2:uid="{00000000-000D-0000-FFFF-FFFF00000000}"/>
  </bookViews>
  <sheets>
    <sheet name="Raw-data" sheetId="1" r:id="rId1"/>
    <sheet name="cleaned data" sheetId="6" r:id="rId2"/>
    <sheet name="change log" sheetId="7" r:id="rId3"/>
    <sheet name="Analysis" sheetId="20" r:id="rId4"/>
    <sheet name="DASHBOARD" sheetId="28" r:id="rId5"/>
    <sheet name="Insights" sheetId="8" r:id="rId6"/>
    <sheet name="dctr&amp;dptmnt" sheetId="31" r:id="rId7"/>
    <sheet name="1.appointment doctor" sheetId="22" r:id="rId8"/>
    <sheet name="3.reason for visit" sheetId="23" r:id="rId9"/>
    <sheet name="2.monthly apntmnt " sheetId="24" r:id="rId10"/>
    <sheet name="4.specialization" sheetId="25" r:id="rId11"/>
    <sheet name="6.gender" sheetId="26" r:id="rId12"/>
    <sheet name="5.hsptlbranch" sheetId="27" r:id="rId13"/>
    <sheet name="7.Status" sheetId="29" r:id="rId14"/>
    <sheet name="KPI cards" sheetId="19" r:id="rId15"/>
  </sheets>
  <definedNames>
    <definedName name="Slicer_branch">#N/A</definedName>
    <definedName name="Slicer_Months">#N/A</definedName>
    <definedName name="Slicer_name">#N/A</definedName>
    <definedName name="Slicer_reason_for_visit">#N/A</definedName>
    <definedName name="Slicer_speialization">#N/A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Lst>
</workbook>
</file>

<file path=xl/calcChain.xml><?xml version="1.0" encoding="utf-8"?>
<calcChain xmlns="http://schemas.openxmlformats.org/spreadsheetml/2006/main">
  <c r="B5" i="19" l="1"/>
  <c r="B4" i="19"/>
  <c r="B6" i="19" s="1"/>
  <c r="B3" i="19"/>
  <c r="B2" i="19"/>
  <c r="B1" i="19"/>
  <c r="B12" i="23"/>
  <c r="CU2" i="6" l="1"/>
  <c r="CU3" i="6"/>
  <c r="CU4" i="6"/>
  <c r="CU5" i="6"/>
  <c r="CU6" i="6"/>
  <c r="CU7" i="6"/>
  <c r="CU8" i="6"/>
  <c r="CU9" i="6"/>
  <c r="CU10" i="6"/>
  <c r="CU11" i="6"/>
  <c r="Q188" i="6" l="1"/>
  <c r="Q189" i="6"/>
  <c r="Q84" i="6"/>
  <c r="Q43" i="6"/>
  <c r="Q85" i="6"/>
  <c r="Q130" i="6"/>
  <c r="Q65" i="6"/>
  <c r="Q66" i="6"/>
  <c r="Q44" i="6"/>
  <c r="Q131" i="6"/>
  <c r="Q45" i="6"/>
  <c r="Q108" i="6"/>
  <c r="Q67" i="6"/>
  <c r="Q190" i="6"/>
  <c r="Q2" i="6"/>
  <c r="Q132" i="6"/>
  <c r="Q133" i="6"/>
  <c r="Q18" i="6"/>
  <c r="Q46" i="6"/>
  <c r="Q134" i="6"/>
  <c r="Q19" i="6"/>
  <c r="Q135" i="6"/>
  <c r="Q3" i="6"/>
  <c r="Q20" i="6"/>
  <c r="Q86" i="6"/>
  <c r="Q136" i="6"/>
  <c r="Q87" i="6"/>
  <c r="Q68" i="6"/>
  <c r="Q137" i="6"/>
  <c r="Q88" i="6"/>
  <c r="Q138" i="6"/>
  <c r="Q139" i="6"/>
  <c r="Q191" i="6"/>
  <c r="Q47" i="6"/>
  <c r="Q48" i="6"/>
  <c r="Q192" i="6"/>
  <c r="Q140" i="6"/>
  <c r="Q109" i="6"/>
  <c r="Q141" i="6"/>
  <c r="Q21" i="6"/>
  <c r="Q22" i="6"/>
  <c r="Q142" i="6"/>
  <c r="Q89" i="6"/>
  <c r="Q90" i="6"/>
  <c r="Q49" i="6"/>
  <c r="Q143" i="6"/>
  <c r="Q144" i="6"/>
  <c r="Q69" i="6"/>
  <c r="Q4" i="6"/>
  <c r="Q91" i="6"/>
  <c r="Q5" i="6"/>
  <c r="Q145" i="6"/>
  <c r="Q6" i="6"/>
  <c r="Q70" i="6"/>
  <c r="Q193" i="6"/>
  <c r="Q71" i="6"/>
  <c r="Q7" i="6"/>
  <c r="Q72" i="6"/>
  <c r="Q110" i="6"/>
  <c r="Q146" i="6"/>
  <c r="Q147" i="6"/>
  <c r="Q194" i="6"/>
  <c r="Q92" i="6"/>
  <c r="Q23" i="6"/>
  <c r="Q148" i="6"/>
  <c r="Q24" i="6"/>
  <c r="Q149" i="6"/>
  <c r="Q195" i="6"/>
  <c r="Q50" i="6"/>
  <c r="Q93" i="6"/>
  <c r="Q111" i="6"/>
  <c r="Q51" i="6"/>
  <c r="Q150" i="6"/>
  <c r="Q151" i="6"/>
  <c r="Q112" i="6"/>
  <c r="Q73" i="6"/>
  <c r="Q8" i="6"/>
  <c r="Q113" i="6"/>
  <c r="Q152" i="6"/>
  <c r="Q153" i="6"/>
  <c r="Q9" i="6"/>
  <c r="Q25" i="6"/>
  <c r="Q94" i="6"/>
  <c r="Q26" i="6"/>
  <c r="Q114" i="6"/>
  <c r="Q27" i="6"/>
  <c r="Q154" i="6"/>
  <c r="Q74" i="6"/>
  <c r="Q155" i="6"/>
  <c r="Q95" i="6"/>
  <c r="Q28" i="6"/>
  <c r="Q29" i="6"/>
  <c r="Q115" i="6"/>
  <c r="Q156" i="6"/>
  <c r="Q52" i="6"/>
  <c r="Q30" i="6"/>
  <c r="Q157" i="6"/>
  <c r="Q158" i="6"/>
  <c r="Q96" i="6"/>
  <c r="Q31" i="6"/>
  <c r="Q159" i="6"/>
  <c r="Q160" i="6"/>
  <c r="Q97" i="6"/>
  <c r="Q53" i="6"/>
  <c r="Q161" i="6"/>
  <c r="Q162" i="6"/>
  <c r="Q163" i="6"/>
  <c r="Q164" i="6"/>
  <c r="Q165" i="6"/>
  <c r="Q75" i="6"/>
  <c r="Q76" i="6"/>
  <c r="Q54" i="6"/>
  <c r="Q32" i="6"/>
  <c r="Q166" i="6"/>
  <c r="Q167" i="6"/>
  <c r="Q33" i="6"/>
  <c r="Q55" i="6"/>
  <c r="Q196" i="6"/>
  <c r="Q34" i="6"/>
  <c r="Q35" i="6"/>
  <c r="Q10" i="6"/>
  <c r="Q116" i="6"/>
  <c r="Q11" i="6"/>
  <c r="Q168" i="6"/>
  <c r="Q77" i="6"/>
  <c r="Q78" i="6"/>
  <c r="Q117" i="6"/>
  <c r="Q98" i="6"/>
  <c r="Q99" i="6"/>
  <c r="Q56" i="6"/>
  <c r="Q118" i="6"/>
  <c r="Q36" i="6"/>
  <c r="Q100" i="6"/>
  <c r="Q169" i="6"/>
  <c r="Q170" i="6"/>
  <c r="Q37" i="6"/>
  <c r="Q171" i="6"/>
  <c r="Q172" i="6"/>
  <c r="Q173" i="6"/>
  <c r="Q119" i="6"/>
  <c r="Q57" i="6"/>
  <c r="Q174" i="6"/>
  <c r="Q101" i="6"/>
  <c r="Q120" i="6"/>
  <c r="Q102" i="6"/>
  <c r="Q121" i="6"/>
  <c r="Q122" i="6"/>
  <c r="Q123" i="6"/>
  <c r="Q58" i="6"/>
  <c r="Q124" i="6"/>
  <c r="Q197" i="6"/>
  <c r="Q175" i="6"/>
  <c r="Q103" i="6"/>
  <c r="Q38" i="6"/>
  <c r="Q12" i="6"/>
  <c r="Q176" i="6"/>
  <c r="Q79" i="6"/>
  <c r="Q59" i="6"/>
  <c r="Q39" i="6"/>
  <c r="Q177" i="6"/>
  <c r="Q198" i="6"/>
  <c r="Q80" i="6"/>
  <c r="Q13" i="6"/>
  <c r="Q40" i="6"/>
  <c r="Q81" i="6"/>
  <c r="Q41" i="6"/>
  <c r="Q199" i="6"/>
  <c r="Q14" i="6"/>
  <c r="Q178" i="6"/>
  <c r="Q125" i="6"/>
  <c r="Q104" i="6"/>
  <c r="Q179" i="6"/>
  <c r="Q126" i="6"/>
  <c r="Q60" i="6"/>
  <c r="Q180" i="6"/>
  <c r="Q181" i="6"/>
  <c r="Q182" i="6"/>
  <c r="Q105" i="6"/>
  <c r="Q15" i="6"/>
  <c r="Q200" i="6"/>
  <c r="Q16" i="6"/>
  <c r="Q201" i="6"/>
  <c r="Q17" i="6"/>
  <c r="Q183" i="6"/>
  <c r="Q61" i="6"/>
  <c r="Q62" i="6"/>
  <c r="Q127" i="6"/>
  <c r="Q82" i="6"/>
  <c r="Q63" i="6"/>
  <c r="Q64" i="6"/>
  <c r="Q184" i="6"/>
  <c r="Q185" i="6"/>
  <c r="Q128" i="6"/>
  <c r="Q83" i="6"/>
  <c r="Q106" i="6"/>
  <c r="Q186" i="6"/>
  <c r="Q107" i="6"/>
  <c r="Q42" i="6"/>
  <c r="Q187" i="6"/>
  <c r="Q129" i="6"/>
  <c r="P188" i="6"/>
  <c r="P189" i="6"/>
  <c r="P84" i="6"/>
  <c r="P43" i="6"/>
  <c r="P85" i="6"/>
  <c r="P130" i="6"/>
  <c r="P65" i="6"/>
  <c r="P66" i="6"/>
  <c r="P44" i="6"/>
  <c r="P131" i="6"/>
  <c r="P45" i="6"/>
  <c r="P108" i="6"/>
  <c r="P67" i="6"/>
  <c r="P190" i="6"/>
  <c r="P2" i="6"/>
  <c r="P132" i="6"/>
  <c r="P133" i="6"/>
  <c r="P18" i="6"/>
  <c r="P46" i="6"/>
  <c r="P134" i="6"/>
  <c r="P19" i="6"/>
  <c r="P135" i="6"/>
  <c r="P3" i="6"/>
  <c r="P20" i="6"/>
  <c r="P86" i="6"/>
  <c r="P136" i="6"/>
  <c r="P87" i="6"/>
  <c r="P68" i="6"/>
  <c r="P137" i="6"/>
  <c r="P88" i="6"/>
  <c r="P138" i="6"/>
  <c r="P139" i="6"/>
  <c r="P191" i="6"/>
  <c r="P47" i="6"/>
  <c r="P48" i="6"/>
  <c r="P192" i="6"/>
  <c r="P140" i="6"/>
  <c r="P109" i="6"/>
  <c r="P141" i="6"/>
  <c r="P21" i="6"/>
  <c r="P22" i="6"/>
  <c r="P142" i="6"/>
  <c r="P89" i="6"/>
  <c r="P90" i="6"/>
  <c r="P49" i="6"/>
  <c r="P143" i="6"/>
  <c r="P144" i="6"/>
  <c r="P69" i="6"/>
  <c r="P4" i="6"/>
  <c r="P91" i="6"/>
  <c r="P5" i="6"/>
  <c r="P145" i="6"/>
  <c r="P6" i="6"/>
  <c r="P70" i="6"/>
  <c r="P193" i="6"/>
  <c r="P71" i="6"/>
  <c r="P7" i="6"/>
  <c r="P72" i="6"/>
  <c r="P110" i="6"/>
  <c r="P146" i="6"/>
  <c r="P147" i="6"/>
  <c r="P194" i="6"/>
  <c r="P92" i="6"/>
  <c r="P23" i="6"/>
  <c r="P148" i="6"/>
  <c r="P24" i="6"/>
  <c r="P149" i="6"/>
  <c r="P195" i="6"/>
  <c r="P50" i="6"/>
  <c r="P93" i="6"/>
  <c r="P111" i="6"/>
  <c r="P51" i="6"/>
  <c r="P150" i="6"/>
  <c r="P151" i="6"/>
  <c r="P112" i="6"/>
  <c r="P73" i="6"/>
  <c r="P8" i="6"/>
  <c r="P113" i="6"/>
  <c r="P152" i="6"/>
  <c r="P153" i="6"/>
  <c r="P9" i="6"/>
  <c r="P25" i="6"/>
  <c r="P94" i="6"/>
  <c r="P26" i="6"/>
  <c r="P114" i="6"/>
  <c r="P27" i="6"/>
  <c r="P154" i="6"/>
  <c r="P74" i="6"/>
  <c r="P155" i="6"/>
  <c r="P95" i="6"/>
  <c r="P28" i="6"/>
  <c r="P29" i="6"/>
  <c r="P115" i="6"/>
  <c r="P156" i="6"/>
  <c r="P52" i="6"/>
  <c r="P30" i="6"/>
  <c r="P157" i="6"/>
  <c r="P158" i="6"/>
  <c r="P96" i="6"/>
  <c r="P31" i="6"/>
  <c r="P159" i="6"/>
  <c r="P160" i="6"/>
  <c r="P97" i="6"/>
  <c r="P53" i="6"/>
  <c r="P161" i="6"/>
  <c r="P162" i="6"/>
  <c r="P163" i="6"/>
  <c r="P164" i="6"/>
  <c r="P165" i="6"/>
  <c r="P75" i="6"/>
  <c r="P76" i="6"/>
  <c r="P54" i="6"/>
  <c r="P32" i="6"/>
  <c r="P166" i="6"/>
  <c r="P167" i="6"/>
  <c r="P33" i="6"/>
  <c r="P55" i="6"/>
  <c r="P196" i="6"/>
  <c r="P34" i="6"/>
  <c r="P35" i="6"/>
  <c r="P10" i="6"/>
  <c r="P116" i="6"/>
  <c r="P11" i="6"/>
  <c r="P168" i="6"/>
  <c r="P77" i="6"/>
  <c r="P78" i="6"/>
  <c r="P117" i="6"/>
  <c r="P98" i="6"/>
  <c r="P99" i="6"/>
  <c r="P56" i="6"/>
  <c r="P118" i="6"/>
  <c r="P36" i="6"/>
  <c r="P100" i="6"/>
  <c r="P169" i="6"/>
  <c r="P170" i="6"/>
  <c r="P37" i="6"/>
  <c r="P171" i="6"/>
  <c r="P172" i="6"/>
  <c r="P173" i="6"/>
  <c r="P119" i="6"/>
  <c r="P57" i="6"/>
  <c r="P174" i="6"/>
  <c r="P101" i="6"/>
  <c r="P120" i="6"/>
  <c r="P102" i="6"/>
  <c r="P121" i="6"/>
  <c r="P122" i="6"/>
  <c r="P123" i="6"/>
  <c r="P58" i="6"/>
  <c r="P124" i="6"/>
  <c r="P197" i="6"/>
  <c r="P175" i="6"/>
  <c r="P103" i="6"/>
  <c r="P38" i="6"/>
  <c r="P12" i="6"/>
  <c r="P176" i="6"/>
  <c r="P79" i="6"/>
  <c r="P59" i="6"/>
  <c r="P39" i="6"/>
  <c r="P177" i="6"/>
  <c r="P198" i="6"/>
  <c r="P80" i="6"/>
  <c r="P13" i="6"/>
  <c r="P40" i="6"/>
  <c r="P81" i="6"/>
  <c r="P41" i="6"/>
  <c r="P199" i="6"/>
  <c r="P14" i="6"/>
  <c r="P178" i="6"/>
  <c r="P125" i="6"/>
  <c r="P104" i="6"/>
  <c r="P179" i="6"/>
  <c r="P126" i="6"/>
  <c r="P60" i="6"/>
  <c r="P180" i="6"/>
  <c r="P181" i="6"/>
  <c r="P182" i="6"/>
  <c r="P105" i="6"/>
  <c r="P15" i="6"/>
  <c r="P200" i="6"/>
  <c r="P16" i="6"/>
  <c r="P201" i="6"/>
  <c r="P17" i="6"/>
  <c r="P183" i="6"/>
  <c r="P61" i="6"/>
  <c r="P62" i="6"/>
  <c r="P127" i="6"/>
  <c r="P82" i="6"/>
  <c r="P63" i="6"/>
  <c r="P64" i="6"/>
  <c r="P184" i="6"/>
  <c r="P185" i="6"/>
  <c r="P128" i="6"/>
  <c r="P83" i="6"/>
  <c r="P106" i="6"/>
  <c r="P186" i="6"/>
  <c r="P107" i="6"/>
  <c r="P42" i="6"/>
  <c r="P187" i="6"/>
  <c r="P129" i="6"/>
  <c r="O188" i="6"/>
  <c r="O189" i="6"/>
  <c r="O84" i="6"/>
  <c r="O43" i="6"/>
  <c r="O85" i="6"/>
  <c r="O130" i="6"/>
  <c r="O65" i="6"/>
  <c r="O66" i="6"/>
  <c r="O44" i="6"/>
  <c r="O131" i="6"/>
  <c r="O45" i="6"/>
  <c r="O108" i="6"/>
  <c r="O67" i="6"/>
  <c r="O190" i="6"/>
  <c r="O2" i="6"/>
  <c r="O132" i="6"/>
  <c r="O133" i="6"/>
  <c r="O18" i="6"/>
  <c r="O46" i="6"/>
  <c r="O134" i="6"/>
  <c r="O19" i="6"/>
  <c r="O135" i="6"/>
  <c r="O3" i="6"/>
  <c r="O20" i="6"/>
  <c r="O86" i="6"/>
  <c r="O136" i="6"/>
  <c r="O87" i="6"/>
  <c r="O68" i="6"/>
  <c r="O137" i="6"/>
  <c r="O88" i="6"/>
  <c r="O138" i="6"/>
  <c r="O139" i="6"/>
  <c r="O191" i="6"/>
  <c r="O47" i="6"/>
  <c r="O48" i="6"/>
  <c r="O192" i="6"/>
  <c r="O140" i="6"/>
  <c r="O109" i="6"/>
  <c r="O141" i="6"/>
  <c r="O21" i="6"/>
  <c r="O22" i="6"/>
  <c r="O142" i="6"/>
  <c r="O89" i="6"/>
  <c r="O90" i="6"/>
  <c r="O49" i="6"/>
  <c r="O143" i="6"/>
  <c r="O144" i="6"/>
  <c r="O69" i="6"/>
  <c r="O4" i="6"/>
  <c r="O91" i="6"/>
  <c r="O5" i="6"/>
  <c r="O145" i="6"/>
  <c r="O6" i="6"/>
  <c r="O70" i="6"/>
  <c r="O193" i="6"/>
  <c r="O71" i="6"/>
  <c r="O7" i="6"/>
  <c r="O72" i="6"/>
  <c r="O110" i="6"/>
  <c r="O146" i="6"/>
  <c r="O147" i="6"/>
  <c r="O194" i="6"/>
  <c r="O92" i="6"/>
  <c r="O23" i="6"/>
  <c r="O148" i="6"/>
  <c r="O24" i="6"/>
  <c r="O149" i="6"/>
  <c r="O195" i="6"/>
  <c r="O50" i="6"/>
  <c r="O93" i="6"/>
  <c r="O111" i="6"/>
  <c r="O51" i="6"/>
  <c r="O150" i="6"/>
  <c r="O151" i="6"/>
  <c r="O112" i="6"/>
  <c r="O73" i="6"/>
  <c r="O8" i="6"/>
  <c r="O113" i="6"/>
  <c r="O152" i="6"/>
  <c r="O153" i="6"/>
  <c r="O9" i="6"/>
  <c r="O25" i="6"/>
  <c r="O94" i="6"/>
  <c r="O26" i="6"/>
  <c r="O114" i="6"/>
  <c r="O27" i="6"/>
  <c r="O154" i="6"/>
  <c r="O74" i="6"/>
  <c r="O155" i="6"/>
  <c r="O95" i="6"/>
  <c r="O28" i="6"/>
  <c r="O29" i="6"/>
  <c r="O115" i="6"/>
  <c r="O156" i="6"/>
  <c r="O52" i="6"/>
  <c r="O30" i="6"/>
  <c r="O157" i="6"/>
  <c r="O158" i="6"/>
  <c r="O96" i="6"/>
  <c r="O31" i="6"/>
  <c r="O159" i="6"/>
  <c r="O160" i="6"/>
  <c r="O97" i="6"/>
  <c r="O53" i="6"/>
  <c r="O161" i="6"/>
  <c r="O162" i="6"/>
  <c r="O163" i="6"/>
  <c r="O164" i="6"/>
  <c r="O165" i="6"/>
  <c r="O75" i="6"/>
  <c r="O76" i="6"/>
  <c r="O54" i="6"/>
  <c r="O32" i="6"/>
  <c r="O166" i="6"/>
  <c r="O167" i="6"/>
  <c r="O33" i="6"/>
  <c r="O55" i="6"/>
  <c r="O196" i="6"/>
  <c r="O34" i="6"/>
  <c r="O35" i="6"/>
  <c r="O10" i="6"/>
  <c r="O116" i="6"/>
  <c r="O11" i="6"/>
  <c r="O168" i="6"/>
  <c r="O77" i="6"/>
  <c r="O78" i="6"/>
  <c r="O117" i="6"/>
  <c r="O98" i="6"/>
  <c r="O99" i="6"/>
  <c r="O56" i="6"/>
  <c r="O118" i="6"/>
  <c r="O36" i="6"/>
  <c r="O100" i="6"/>
  <c r="O169" i="6"/>
  <c r="O170" i="6"/>
  <c r="O37" i="6"/>
  <c r="O171" i="6"/>
  <c r="O172" i="6"/>
  <c r="O173" i="6"/>
  <c r="O119" i="6"/>
  <c r="O57" i="6"/>
  <c r="O174" i="6"/>
  <c r="O101" i="6"/>
  <c r="O120" i="6"/>
  <c r="O102" i="6"/>
  <c r="O121" i="6"/>
  <c r="O122" i="6"/>
  <c r="O123" i="6"/>
  <c r="O58" i="6"/>
  <c r="O124" i="6"/>
  <c r="O197" i="6"/>
  <c r="O175" i="6"/>
  <c r="O103" i="6"/>
  <c r="O38" i="6"/>
  <c r="O12" i="6"/>
  <c r="O176" i="6"/>
  <c r="O79" i="6"/>
  <c r="O59" i="6"/>
  <c r="O39" i="6"/>
  <c r="O177" i="6"/>
  <c r="O198" i="6"/>
  <c r="O80" i="6"/>
  <c r="O13" i="6"/>
  <c r="O40" i="6"/>
  <c r="O81" i="6"/>
  <c r="O41" i="6"/>
  <c r="O199" i="6"/>
  <c r="O14" i="6"/>
  <c r="O178" i="6"/>
  <c r="O125" i="6"/>
  <c r="O104" i="6"/>
  <c r="O179" i="6"/>
  <c r="O126" i="6"/>
  <c r="O60" i="6"/>
  <c r="O180" i="6"/>
  <c r="O181" i="6"/>
  <c r="O182" i="6"/>
  <c r="O105" i="6"/>
  <c r="O15" i="6"/>
  <c r="O200" i="6"/>
  <c r="O16" i="6"/>
  <c r="O201" i="6"/>
  <c r="O17" i="6"/>
  <c r="O183" i="6"/>
  <c r="O61" i="6"/>
  <c r="O62" i="6"/>
  <c r="O127" i="6"/>
  <c r="O82" i="6"/>
  <c r="O63" i="6"/>
  <c r="O64" i="6"/>
  <c r="O184" i="6"/>
  <c r="O185" i="6"/>
  <c r="O128" i="6"/>
  <c r="O83" i="6"/>
  <c r="O106" i="6"/>
  <c r="O186" i="6"/>
  <c r="O107" i="6"/>
  <c r="O42" i="6"/>
  <c r="O187" i="6"/>
  <c r="O129" i="6"/>
  <c r="N188" i="6"/>
  <c r="N189" i="6"/>
  <c r="N84" i="6"/>
  <c r="N43" i="6"/>
  <c r="N85" i="6"/>
  <c r="N130" i="6"/>
  <c r="N65" i="6"/>
  <c r="N66" i="6"/>
  <c r="N44" i="6"/>
  <c r="N131" i="6"/>
  <c r="N45" i="6"/>
  <c r="N108" i="6"/>
  <c r="N67" i="6"/>
  <c r="N190" i="6"/>
  <c r="N2" i="6"/>
  <c r="N132" i="6"/>
  <c r="N133" i="6"/>
  <c r="N18" i="6"/>
  <c r="N46" i="6"/>
  <c r="N134" i="6"/>
  <c r="N19" i="6"/>
  <c r="N135" i="6"/>
  <c r="N3" i="6"/>
  <c r="N20" i="6"/>
  <c r="N86" i="6"/>
  <c r="N136" i="6"/>
  <c r="N87" i="6"/>
  <c r="N68" i="6"/>
  <c r="N137" i="6"/>
  <c r="N88" i="6"/>
  <c r="N138" i="6"/>
  <c r="N139" i="6"/>
  <c r="N191" i="6"/>
  <c r="N47" i="6"/>
  <c r="N48" i="6"/>
  <c r="N192" i="6"/>
  <c r="N140" i="6"/>
  <c r="N109" i="6"/>
  <c r="N141" i="6"/>
  <c r="N21" i="6"/>
  <c r="N22" i="6"/>
  <c r="N142" i="6"/>
  <c r="N89" i="6"/>
  <c r="N90" i="6"/>
  <c r="N49" i="6"/>
  <c r="N143" i="6"/>
  <c r="N144" i="6"/>
  <c r="N69" i="6"/>
  <c r="N4" i="6"/>
  <c r="N91" i="6"/>
  <c r="N5" i="6"/>
  <c r="N145" i="6"/>
  <c r="N6" i="6"/>
  <c r="N70" i="6"/>
  <c r="N193" i="6"/>
  <c r="N71" i="6"/>
  <c r="N7" i="6"/>
  <c r="N72" i="6"/>
  <c r="N110" i="6"/>
  <c r="N146" i="6"/>
  <c r="N147" i="6"/>
  <c r="N194" i="6"/>
  <c r="N92" i="6"/>
  <c r="N23" i="6"/>
  <c r="N148" i="6"/>
  <c r="N24" i="6"/>
  <c r="N149" i="6"/>
  <c r="N195" i="6"/>
  <c r="N50" i="6"/>
  <c r="N93" i="6"/>
  <c r="N111" i="6"/>
  <c r="N51" i="6"/>
  <c r="N150" i="6"/>
  <c r="N151" i="6"/>
  <c r="N112" i="6"/>
  <c r="N73" i="6"/>
  <c r="N8" i="6"/>
  <c r="N113" i="6"/>
  <c r="N152" i="6"/>
  <c r="N153" i="6"/>
  <c r="N9" i="6"/>
  <c r="N25" i="6"/>
  <c r="N94" i="6"/>
  <c r="N26" i="6"/>
  <c r="N114" i="6"/>
  <c r="N27" i="6"/>
  <c r="N154" i="6"/>
  <c r="N74" i="6"/>
  <c r="N155" i="6"/>
  <c r="N95" i="6"/>
  <c r="N28" i="6"/>
  <c r="N29" i="6"/>
  <c r="N115" i="6"/>
  <c r="N156" i="6"/>
  <c r="N52" i="6"/>
  <c r="N30" i="6"/>
  <c r="N157" i="6"/>
  <c r="N158" i="6"/>
  <c r="N96" i="6"/>
  <c r="N31" i="6"/>
  <c r="N159" i="6"/>
  <c r="N160" i="6"/>
  <c r="N97" i="6"/>
  <c r="N53" i="6"/>
  <c r="N161" i="6"/>
  <c r="N162" i="6"/>
  <c r="N163" i="6"/>
  <c r="N164" i="6"/>
  <c r="N165" i="6"/>
  <c r="N75" i="6"/>
  <c r="N76" i="6"/>
  <c r="N54" i="6"/>
  <c r="N32" i="6"/>
  <c r="N166" i="6"/>
  <c r="N167" i="6"/>
  <c r="N33" i="6"/>
  <c r="N55" i="6"/>
  <c r="N196" i="6"/>
  <c r="N34" i="6"/>
  <c r="N35" i="6"/>
  <c r="N10" i="6"/>
  <c r="N116" i="6"/>
  <c r="N11" i="6"/>
  <c r="N168" i="6"/>
  <c r="N77" i="6"/>
  <c r="N78" i="6"/>
  <c r="N117" i="6"/>
  <c r="N98" i="6"/>
  <c r="N99" i="6"/>
  <c r="N56" i="6"/>
  <c r="N118" i="6"/>
  <c r="N36" i="6"/>
  <c r="N100" i="6"/>
  <c r="N169" i="6"/>
  <c r="N170" i="6"/>
  <c r="N37" i="6"/>
  <c r="N171" i="6"/>
  <c r="N172" i="6"/>
  <c r="N173" i="6"/>
  <c r="N119" i="6"/>
  <c r="N57" i="6"/>
  <c r="N174" i="6"/>
  <c r="N101" i="6"/>
  <c r="N120" i="6"/>
  <c r="N102" i="6"/>
  <c r="N121" i="6"/>
  <c r="N122" i="6"/>
  <c r="N123" i="6"/>
  <c r="N58" i="6"/>
  <c r="N124" i="6"/>
  <c r="N197" i="6"/>
  <c r="N175" i="6"/>
  <c r="N103" i="6"/>
  <c r="N38" i="6"/>
  <c r="N12" i="6"/>
  <c r="N176" i="6"/>
  <c r="N79" i="6"/>
  <c r="N59" i="6"/>
  <c r="N39" i="6"/>
  <c r="N177" i="6"/>
  <c r="N198" i="6"/>
  <c r="N80" i="6"/>
  <c r="N13" i="6"/>
  <c r="N40" i="6"/>
  <c r="N81" i="6"/>
  <c r="N41" i="6"/>
  <c r="N199" i="6"/>
  <c r="N14" i="6"/>
  <c r="N178" i="6"/>
  <c r="N125" i="6"/>
  <c r="N104" i="6"/>
  <c r="N179" i="6"/>
  <c r="N126" i="6"/>
  <c r="N60" i="6"/>
  <c r="N180" i="6"/>
  <c r="N181" i="6"/>
  <c r="N182" i="6"/>
  <c r="N105" i="6"/>
  <c r="N15" i="6"/>
  <c r="N200" i="6"/>
  <c r="N16" i="6"/>
  <c r="N201" i="6"/>
  <c r="N17" i="6"/>
  <c r="N183" i="6"/>
  <c r="N61" i="6"/>
  <c r="N62" i="6"/>
  <c r="N127" i="6"/>
  <c r="N82" i="6"/>
  <c r="N63" i="6"/>
  <c r="N64" i="6"/>
  <c r="N184" i="6"/>
  <c r="N185" i="6"/>
  <c r="N128" i="6"/>
  <c r="N83" i="6"/>
  <c r="N106" i="6"/>
  <c r="N186" i="6"/>
  <c r="N107" i="6"/>
  <c r="N42" i="6"/>
  <c r="N187" i="6"/>
  <c r="N129" i="6"/>
  <c r="I188" i="6"/>
  <c r="J188" i="6" s="1"/>
  <c r="K188" i="6" s="1"/>
  <c r="I189" i="6"/>
  <c r="J189" i="6" s="1"/>
  <c r="K189" i="6" s="1"/>
  <c r="I84" i="6"/>
  <c r="J84" i="6" s="1"/>
  <c r="K84" i="6" s="1"/>
  <c r="I43" i="6"/>
  <c r="J43" i="6" s="1"/>
  <c r="K43" i="6" s="1"/>
  <c r="I85" i="6"/>
  <c r="J85" i="6" s="1"/>
  <c r="K85" i="6" s="1"/>
  <c r="I130" i="6"/>
  <c r="J130" i="6" s="1"/>
  <c r="K130" i="6" s="1"/>
  <c r="I65" i="6"/>
  <c r="J65" i="6" s="1"/>
  <c r="K65" i="6" s="1"/>
  <c r="I66" i="6"/>
  <c r="J66" i="6" s="1"/>
  <c r="K66" i="6" s="1"/>
  <c r="I44" i="6"/>
  <c r="J44" i="6" s="1"/>
  <c r="K44" i="6" s="1"/>
  <c r="I131" i="6"/>
  <c r="J131" i="6" s="1"/>
  <c r="K131" i="6" s="1"/>
  <c r="I45" i="6"/>
  <c r="J45" i="6" s="1"/>
  <c r="K45" i="6" s="1"/>
  <c r="I108" i="6"/>
  <c r="J108" i="6" s="1"/>
  <c r="K108" i="6" s="1"/>
  <c r="I67" i="6"/>
  <c r="J67" i="6" s="1"/>
  <c r="K67" i="6" s="1"/>
  <c r="I190" i="6"/>
  <c r="J190" i="6" s="1"/>
  <c r="K190" i="6" s="1"/>
  <c r="I2" i="6"/>
  <c r="J2" i="6" s="1"/>
  <c r="K2" i="6" s="1"/>
  <c r="I132" i="6"/>
  <c r="J132" i="6" s="1"/>
  <c r="K132" i="6" s="1"/>
  <c r="I133" i="6"/>
  <c r="J133" i="6" s="1"/>
  <c r="K133" i="6" s="1"/>
  <c r="I18" i="6"/>
  <c r="J18" i="6" s="1"/>
  <c r="K18" i="6" s="1"/>
  <c r="I46" i="6"/>
  <c r="J46" i="6" s="1"/>
  <c r="K46" i="6" s="1"/>
  <c r="I134" i="6"/>
  <c r="J134" i="6" s="1"/>
  <c r="K134" i="6" s="1"/>
  <c r="I19" i="6"/>
  <c r="J19" i="6" s="1"/>
  <c r="K19" i="6" s="1"/>
  <c r="I135" i="6"/>
  <c r="J135" i="6" s="1"/>
  <c r="K135" i="6" s="1"/>
  <c r="I3" i="6"/>
  <c r="J3" i="6" s="1"/>
  <c r="K3" i="6" s="1"/>
  <c r="I20" i="6"/>
  <c r="J20" i="6" s="1"/>
  <c r="K20" i="6" s="1"/>
  <c r="I86" i="6"/>
  <c r="J86" i="6" s="1"/>
  <c r="K86" i="6" s="1"/>
  <c r="I136" i="6"/>
  <c r="J136" i="6" s="1"/>
  <c r="K136" i="6" s="1"/>
  <c r="I87" i="6"/>
  <c r="J87" i="6" s="1"/>
  <c r="K87" i="6" s="1"/>
  <c r="I68" i="6"/>
  <c r="J68" i="6" s="1"/>
  <c r="K68" i="6" s="1"/>
  <c r="I137" i="6"/>
  <c r="J137" i="6" s="1"/>
  <c r="K137" i="6" s="1"/>
  <c r="I88" i="6"/>
  <c r="J88" i="6" s="1"/>
  <c r="K88" i="6" s="1"/>
  <c r="I138" i="6"/>
  <c r="J138" i="6" s="1"/>
  <c r="K138" i="6" s="1"/>
  <c r="I139" i="6"/>
  <c r="J139" i="6" s="1"/>
  <c r="K139" i="6" s="1"/>
  <c r="I191" i="6"/>
  <c r="J191" i="6" s="1"/>
  <c r="K191" i="6" s="1"/>
  <c r="I47" i="6"/>
  <c r="J47" i="6" s="1"/>
  <c r="K47" i="6" s="1"/>
  <c r="I48" i="6"/>
  <c r="J48" i="6" s="1"/>
  <c r="K48" i="6" s="1"/>
  <c r="I192" i="6"/>
  <c r="J192" i="6" s="1"/>
  <c r="K192" i="6" s="1"/>
  <c r="I140" i="6"/>
  <c r="J140" i="6" s="1"/>
  <c r="K140" i="6" s="1"/>
  <c r="I109" i="6"/>
  <c r="J109" i="6" s="1"/>
  <c r="K109" i="6" s="1"/>
  <c r="I141" i="6"/>
  <c r="J141" i="6" s="1"/>
  <c r="K141" i="6" s="1"/>
  <c r="I21" i="6"/>
  <c r="J21" i="6" s="1"/>
  <c r="K21" i="6" s="1"/>
  <c r="I22" i="6"/>
  <c r="J22" i="6" s="1"/>
  <c r="K22" i="6" s="1"/>
  <c r="I142" i="6"/>
  <c r="J142" i="6" s="1"/>
  <c r="K142" i="6" s="1"/>
  <c r="I89" i="6"/>
  <c r="J89" i="6" s="1"/>
  <c r="K89" i="6" s="1"/>
  <c r="I90" i="6"/>
  <c r="J90" i="6" s="1"/>
  <c r="K90" i="6" s="1"/>
  <c r="I49" i="6"/>
  <c r="J49" i="6" s="1"/>
  <c r="K49" i="6" s="1"/>
  <c r="I143" i="6"/>
  <c r="J143" i="6" s="1"/>
  <c r="K143" i="6" s="1"/>
  <c r="I144" i="6"/>
  <c r="J144" i="6" s="1"/>
  <c r="K144" i="6" s="1"/>
  <c r="I69" i="6"/>
  <c r="J69" i="6" s="1"/>
  <c r="K69" i="6" s="1"/>
  <c r="I4" i="6"/>
  <c r="J4" i="6" s="1"/>
  <c r="K4" i="6" s="1"/>
  <c r="I91" i="6"/>
  <c r="J91" i="6" s="1"/>
  <c r="K91" i="6" s="1"/>
  <c r="I5" i="6"/>
  <c r="J5" i="6" s="1"/>
  <c r="K5" i="6" s="1"/>
  <c r="I145" i="6"/>
  <c r="J145" i="6" s="1"/>
  <c r="K145" i="6" s="1"/>
  <c r="I6" i="6"/>
  <c r="J6" i="6" s="1"/>
  <c r="K6" i="6" s="1"/>
  <c r="I70" i="6"/>
  <c r="J70" i="6" s="1"/>
  <c r="K70" i="6" s="1"/>
  <c r="I193" i="6"/>
  <c r="J193" i="6" s="1"/>
  <c r="K193" i="6" s="1"/>
  <c r="I71" i="6"/>
  <c r="J71" i="6" s="1"/>
  <c r="K71" i="6" s="1"/>
  <c r="I7" i="6"/>
  <c r="J7" i="6" s="1"/>
  <c r="K7" i="6" s="1"/>
  <c r="I72" i="6"/>
  <c r="J72" i="6" s="1"/>
  <c r="K72" i="6" s="1"/>
  <c r="I110" i="6"/>
  <c r="J110" i="6" s="1"/>
  <c r="K110" i="6" s="1"/>
  <c r="I146" i="6"/>
  <c r="J146" i="6" s="1"/>
  <c r="K146" i="6" s="1"/>
  <c r="I147" i="6"/>
  <c r="J147" i="6" s="1"/>
  <c r="K147" i="6" s="1"/>
  <c r="I194" i="6"/>
  <c r="J194" i="6" s="1"/>
  <c r="K194" i="6" s="1"/>
  <c r="I92" i="6"/>
  <c r="J92" i="6" s="1"/>
  <c r="K92" i="6" s="1"/>
  <c r="I23" i="6"/>
  <c r="J23" i="6" s="1"/>
  <c r="K23" i="6" s="1"/>
  <c r="I148" i="6"/>
  <c r="J148" i="6" s="1"/>
  <c r="K148" i="6" s="1"/>
  <c r="I24" i="6"/>
  <c r="J24" i="6" s="1"/>
  <c r="K24" i="6" s="1"/>
  <c r="I149" i="6"/>
  <c r="J149" i="6" s="1"/>
  <c r="K149" i="6" s="1"/>
  <c r="I195" i="6"/>
  <c r="J195" i="6" s="1"/>
  <c r="K195" i="6" s="1"/>
  <c r="I50" i="6"/>
  <c r="J50" i="6" s="1"/>
  <c r="K50" i="6" s="1"/>
  <c r="I93" i="6"/>
  <c r="J93" i="6" s="1"/>
  <c r="K93" i="6" s="1"/>
  <c r="I111" i="6"/>
  <c r="J111" i="6" s="1"/>
  <c r="K111" i="6" s="1"/>
  <c r="I51" i="6"/>
  <c r="J51" i="6" s="1"/>
  <c r="K51" i="6" s="1"/>
  <c r="I150" i="6"/>
  <c r="J150" i="6" s="1"/>
  <c r="K150" i="6" s="1"/>
  <c r="I151" i="6"/>
  <c r="J151" i="6" s="1"/>
  <c r="K151" i="6" s="1"/>
  <c r="I112" i="6"/>
  <c r="J112" i="6" s="1"/>
  <c r="K112" i="6" s="1"/>
  <c r="I73" i="6"/>
  <c r="J73" i="6" s="1"/>
  <c r="K73" i="6" s="1"/>
  <c r="I8" i="6"/>
  <c r="J8" i="6" s="1"/>
  <c r="K8" i="6" s="1"/>
  <c r="I113" i="6"/>
  <c r="J113" i="6" s="1"/>
  <c r="K113" i="6" s="1"/>
  <c r="I152" i="6"/>
  <c r="J152" i="6" s="1"/>
  <c r="K152" i="6" s="1"/>
  <c r="I153" i="6"/>
  <c r="J153" i="6" s="1"/>
  <c r="K153" i="6" s="1"/>
  <c r="I9" i="6"/>
  <c r="J9" i="6" s="1"/>
  <c r="K9" i="6" s="1"/>
  <c r="I25" i="6"/>
  <c r="J25" i="6" s="1"/>
  <c r="K25" i="6" s="1"/>
  <c r="I94" i="6"/>
  <c r="J94" i="6" s="1"/>
  <c r="K94" i="6" s="1"/>
  <c r="I26" i="6"/>
  <c r="J26" i="6" s="1"/>
  <c r="K26" i="6" s="1"/>
  <c r="I114" i="6"/>
  <c r="J114" i="6" s="1"/>
  <c r="K114" i="6" s="1"/>
  <c r="I27" i="6"/>
  <c r="J27" i="6" s="1"/>
  <c r="K27" i="6" s="1"/>
  <c r="I154" i="6"/>
  <c r="J154" i="6" s="1"/>
  <c r="K154" i="6" s="1"/>
  <c r="I74" i="6"/>
  <c r="J74" i="6" s="1"/>
  <c r="K74" i="6" s="1"/>
  <c r="I155" i="6"/>
  <c r="J155" i="6" s="1"/>
  <c r="K155" i="6" s="1"/>
  <c r="I95" i="6"/>
  <c r="J95" i="6" s="1"/>
  <c r="K95" i="6" s="1"/>
  <c r="I28" i="6"/>
  <c r="J28" i="6" s="1"/>
  <c r="K28" i="6" s="1"/>
  <c r="I29" i="6"/>
  <c r="J29" i="6" s="1"/>
  <c r="K29" i="6" s="1"/>
  <c r="I115" i="6"/>
  <c r="J115" i="6" s="1"/>
  <c r="K115" i="6" s="1"/>
  <c r="I156" i="6"/>
  <c r="J156" i="6" s="1"/>
  <c r="K156" i="6" s="1"/>
  <c r="I52" i="6"/>
  <c r="J52" i="6" s="1"/>
  <c r="K52" i="6" s="1"/>
  <c r="I30" i="6"/>
  <c r="J30" i="6" s="1"/>
  <c r="K30" i="6" s="1"/>
  <c r="I157" i="6"/>
  <c r="J157" i="6" s="1"/>
  <c r="K157" i="6" s="1"/>
  <c r="I158" i="6"/>
  <c r="J158" i="6" s="1"/>
  <c r="K158" i="6" s="1"/>
  <c r="I96" i="6"/>
  <c r="J96" i="6" s="1"/>
  <c r="K96" i="6" s="1"/>
  <c r="I31" i="6"/>
  <c r="J31" i="6" s="1"/>
  <c r="K31" i="6" s="1"/>
  <c r="I159" i="6"/>
  <c r="J159" i="6" s="1"/>
  <c r="K159" i="6" s="1"/>
  <c r="I160" i="6"/>
  <c r="J160" i="6" s="1"/>
  <c r="K160" i="6" s="1"/>
  <c r="I97" i="6"/>
  <c r="J97" i="6" s="1"/>
  <c r="K97" i="6" s="1"/>
  <c r="I53" i="6"/>
  <c r="J53" i="6" s="1"/>
  <c r="K53" i="6" s="1"/>
  <c r="I161" i="6"/>
  <c r="J161" i="6" s="1"/>
  <c r="K161" i="6" s="1"/>
  <c r="I162" i="6"/>
  <c r="J162" i="6" s="1"/>
  <c r="K162" i="6" s="1"/>
  <c r="I163" i="6"/>
  <c r="J163" i="6" s="1"/>
  <c r="K163" i="6" s="1"/>
  <c r="I164" i="6"/>
  <c r="J164" i="6" s="1"/>
  <c r="K164" i="6" s="1"/>
  <c r="I165" i="6"/>
  <c r="J165" i="6" s="1"/>
  <c r="K165" i="6" s="1"/>
  <c r="I75" i="6"/>
  <c r="J75" i="6" s="1"/>
  <c r="K75" i="6" s="1"/>
  <c r="I76" i="6"/>
  <c r="J76" i="6" s="1"/>
  <c r="K76" i="6" s="1"/>
  <c r="I54" i="6"/>
  <c r="J54" i="6" s="1"/>
  <c r="K54" i="6" s="1"/>
  <c r="I32" i="6"/>
  <c r="J32" i="6" s="1"/>
  <c r="K32" i="6" s="1"/>
  <c r="I166" i="6"/>
  <c r="J166" i="6" s="1"/>
  <c r="K166" i="6" s="1"/>
  <c r="I167" i="6"/>
  <c r="J167" i="6" s="1"/>
  <c r="K167" i="6" s="1"/>
  <c r="I33" i="6"/>
  <c r="J33" i="6" s="1"/>
  <c r="K33" i="6" s="1"/>
  <c r="I55" i="6"/>
  <c r="J55" i="6" s="1"/>
  <c r="K55" i="6" s="1"/>
  <c r="I196" i="6"/>
  <c r="J196" i="6" s="1"/>
  <c r="K196" i="6" s="1"/>
  <c r="I34" i="6"/>
  <c r="J34" i="6" s="1"/>
  <c r="K34" i="6" s="1"/>
  <c r="I35" i="6"/>
  <c r="J35" i="6" s="1"/>
  <c r="K35" i="6" s="1"/>
  <c r="I10" i="6"/>
  <c r="J10" i="6" s="1"/>
  <c r="K10" i="6" s="1"/>
  <c r="I116" i="6"/>
  <c r="J116" i="6" s="1"/>
  <c r="K116" i="6" s="1"/>
  <c r="I11" i="6"/>
  <c r="J11" i="6" s="1"/>
  <c r="K11" i="6" s="1"/>
  <c r="I168" i="6"/>
  <c r="J168" i="6" s="1"/>
  <c r="K168" i="6" s="1"/>
  <c r="I77" i="6"/>
  <c r="J77" i="6" s="1"/>
  <c r="K77" i="6" s="1"/>
  <c r="I78" i="6"/>
  <c r="J78" i="6" s="1"/>
  <c r="K78" i="6" s="1"/>
  <c r="I117" i="6"/>
  <c r="J117" i="6" s="1"/>
  <c r="K117" i="6" s="1"/>
  <c r="I98" i="6"/>
  <c r="J98" i="6" s="1"/>
  <c r="K98" i="6" s="1"/>
  <c r="I99" i="6"/>
  <c r="J99" i="6" s="1"/>
  <c r="K99" i="6" s="1"/>
  <c r="I56" i="6"/>
  <c r="J56" i="6" s="1"/>
  <c r="K56" i="6" s="1"/>
  <c r="I118" i="6"/>
  <c r="J118" i="6" s="1"/>
  <c r="K118" i="6" s="1"/>
  <c r="I36" i="6"/>
  <c r="J36" i="6" s="1"/>
  <c r="K36" i="6" s="1"/>
  <c r="I100" i="6"/>
  <c r="J100" i="6" s="1"/>
  <c r="K100" i="6" s="1"/>
  <c r="I169" i="6"/>
  <c r="J169" i="6" s="1"/>
  <c r="K169" i="6" s="1"/>
  <c r="I170" i="6"/>
  <c r="J170" i="6" s="1"/>
  <c r="K170" i="6" s="1"/>
  <c r="I37" i="6"/>
  <c r="J37" i="6" s="1"/>
  <c r="K37" i="6" s="1"/>
  <c r="I171" i="6"/>
  <c r="J171" i="6" s="1"/>
  <c r="K171" i="6" s="1"/>
  <c r="I172" i="6"/>
  <c r="J172" i="6" s="1"/>
  <c r="K172" i="6" s="1"/>
  <c r="I173" i="6"/>
  <c r="J173" i="6" s="1"/>
  <c r="K173" i="6" s="1"/>
  <c r="I119" i="6"/>
  <c r="J119" i="6" s="1"/>
  <c r="K119" i="6" s="1"/>
  <c r="I57" i="6"/>
  <c r="J57" i="6" s="1"/>
  <c r="K57" i="6" s="1"/>
  <c r="I174" i="6"/>
  <c r="J174" i="6" s="1"/>
  <c r="K174" i="6" s="1"/>
  <c r="I101" i="6"/>
  <c r="J101" i="6" s="1"/>
  <c r="K101" i="6" s="1"/>
  <c r="I120" i="6"/>
  <c r="J120" i="6" s="1"/>
  <c r="K120" i="6" s="1"/>
  <c r="I102" i="6"/>
  <c r="J102" i="6" s="1"/>
  <c r="K102" i="6" s="1"/>
  <c r="I121" i="6"/>
  <c r="J121" i="6" s="1"/>
  <c r="K121" i="6" s="1"/>
  <c r="I122" i="6"/>
  <c r="J122" i="6" s="1"/>
  <c r="K122" i="6" s="1"/>
  <c r="I123" i="6"/>
  <c r="J123" i="6" s="1"/>
  <c r="K123" i="6" s="1"/>
  <c r="I58" i="6"/>
  <c r="J58" i="6" s="1"/>
  <c r="K58" i="6" s="1"/>
  <c r="I124" i="6"/>
  <c r="J124" i="6" s="1"/>
  <c r="K124" i="6" s="1"/>
  <c r="I197" i="6"/>
  <c r="J197" i="6" s="1"/>
  <c r="K197" i="6" s="1"/>
  <c r="I175" i="6"/>
  <c r="J175" i="6" s="1"/>
  <c r="K175" i="6" s="1"/>
  <c r="I103" i="6"/>
  <c r="J103" i="6" s="1"/>
  <c r="K103" i="6" s="1"/>
  <c r="I38" i="6"/>
  <c r="J38" i="6" s="1"/>
  <c r="K38" i="6" s="1"/>
  <c r="I12" i="6"/>
  <c r="J12" i="6" s="1"/>
  <c r="K12" i="6" s="1"/>
  <c r="I176" i="6"/>
  <c r="J176" i="6" s="1"/>
  <c r="K176" i="6" s="1"/>
  <c r="I79" i="6"/>
  <c r="J79" i="6" s="1"/>
  <c r="K79" i="6" s="1"/>
  <c r="I59" i="6"/>
  <c r="J59" i="6" s="1"/>
  <c r="K59" i="6" s="1"/>
  <c r="I39" i="6"/>
  <c r="J39" i="6" s="1"/>
  <c r="K39" i="6" s="1"/>
  <c r="I177" i="6"/>
  <c r="J177" i="6" s="1"/>
  <c r="K177" i="6" s="1"/>
  <c r="I198" i="6"/>
  <c r="J198" i="6" s="1"/>
  <c r="K198" i="6" s="1"/>
  <c r="I80" i="6"/>
  <c r="J80" i="6" s="1"/>
  <c r="K80" i="6" s="1"/>
  <c r="I13" i="6"/>
  <c r="J13" i="6" s="1"/>
  <c r="K13" i="6" s="1"/>
  <c r="I40" i="6"/>
  <c r="J40" i="6" s="1"/>
  <c r="K40" i="6" s="1"/>
  <c r="I81" i="6"/>
  <c r="J81" i="6" s="1"/>
  <c r="K81" i="6" s="1"/>
  <c r="I41" i="6"/>
  <c r="J41" i="6" s="1"/>
  <c r="K41" i="6" s="1"/>
  <c r="I199" i="6"/>
  <c r="J199" i="6" s="1"/>
  <c r="K199" i="6" s="1"/>
  <c r="I14" i="6"/>
  <c r="J14" i="6" s="1"/>
  <c r="K14" i="6" s="1"/>
  <c r="I178" i="6"/>
  <c r="J178" i="6" s="1"/>
  <c r="K178" i="6" s="1"/>
  <c r="I125" i="6"/>
  <c r="J125" i="6" s="1"/>
  <c r="K125" i="6" s="1"/>
  <c r="I104" i="6"/>
  <c r="J104" i="6" s="1"/>
  <c r="K104" i="6" s="1"/>
  <c r="I179" i="6"/>
  <c r="J179" i="6" s="1"/>
  <c r="K179" i="6" s="1"/>
  <c r="I126" i="6"/>
  <c r="J126" i="6" s="1"/>
  <c r="K126" i="6" s="1"/>
  <c r="I60" i="6"/>
  <c r="J60" i="6" s="1"/>
  <c r="K60" i="6" s="1"/>
  <c r="I180" i="6"/>
  <c r="J180" i="6" s="1"/>
  <c r="K180" i="6" s="1"/>
  <c r="I181" i="6"/>
  <c r="J181" i="6" s="1"/>
  <c r="K181" i="6" s="1"/>
  <c r="I182" i="6"/>
  <c r="J182" i="6" s="1"/>
  <c r="K182" i="6" s="1"/>
  <c r="I105" i="6"/>
  <c r="J105" i="6" s="1"/>
  <c r="K105" i="6" s="1"/>
  <c r="I15" i="6"/>
  <c r="J15" i="6" s="1"/>
  <c r="K15" i="6" s="1"/>
  <c r="I200" i="6"/>
  <c r="J200" i="6" s="1"/>
  <c r="K200" i="6" s="1"/>
  <c r="I16" i="6"/>
  <c r="J16" i="6" s="1"/>
  <c r="K16" i="6" s="1"/>
  <c r="I201" i="6"/>
  <c r="J201" i="6" s="1"/>
  <c r="K201" i="6" s="1"/>
  <c r="I17" i="6"/>
  <c r="J17" i="6" s="1"/>
  <c r="K17" i="6" s="1"/>
  <c r="I183" i="6"/>
  <c r="J183" i="6" s="1"/>
  <c r="K183" i="6" s="1"/>
  <c r="I61" i="6"/>
  <c r="J61" i="6" s="1"/>
  <c r="K61" i="6" s="1"/>
  <c r="I62" i="6"/>
  <c r="J62" i="6" s="1"/>
  <c r="K62" i="6" s="1"/>
  <c r="I127" i="6"/>
  <c r="J127" i="6" s="1"/>
  <c r="K127" i="6" s="1"/>
  <c r="I82" i="6"/>
  <c r="J82" i="6" s="1"/>
  <c r="K82" i="6" s="1"/>
  <c r="I63" i="6"/>
  <c r="J63" i="6" s="1"/>
  <c r="K63" i="6" s="1"/>
  <c r="I64" i="6"/>
  <c r="J64" i="6" s="1"/>
  <c r="K64" i="6" s="1"/>
  <c r="I184" i="6"/>
  <c r="J184" i="6" s="1"/>
  <c r="K184" i="6" s="1"/>
  <c r="I185" i="6"/>
  <c r="J185" i="6" s="1"/>
  <c r="K185" i="6" s="1"/>
  <c r="I128" i="6"/>
  <c r="J128" i="6" s="1"/>
  <c r="K128" i="6" s="1"/>
  <c r="I83" i="6"/>
  <c r="J83" i="6" s="1"/>
  <c r="K83" i="6" s="1"/>
  <c r="I106" i="6"/>
  <c r="J106" i="6" s="1"/>
  <c r="K106" i="6" s="1"/>
  <c r="I186" i="6"/>
  <c r="J186" i="6" s="1"/>
  <c r="K186" i="6" s="1"/>
  <c r="I107" i="6"/>
  <c r="J107" i="6" s="1"/>
  <c r="K107" i="6" s="1"/>
  <c r="I42" i="6"/>
  <c r="J42" i="6" s="1"/>
  <c r="K42" i="6" s="1"/>
  <c r="I187" i="6"/>
  <c r="J187" i="6" s="1"/>
  <c r="K187" i="6" s="1"/>
  <c r="I129" i="6"/>
  <c r="J129" i="6" s="1"/>
  <c r="K129" i="6" s="1"/>
  <c r="H188" i="6"/>
  <c r="H189" i="6"/>
  <c r="H84" i="6"/>
  <c r="H43" i="6"/>
  <c r="H85" i="6"/>
  <c r="H130" i="6"/>
  <c r="H65" i="6"/>
  <c r="H66" i="6"/>
  <c r="H44" i="6"/>
  <c r="H131" i="6"/>
  <c r="H45" i="6"/>
  <c r="H108" i="6"/>
  <c r="H67" i="6"/>
  <c r="H190" i="6"/>
  <c r="H2" i="6"/>
  <c r="H132" i="6"/>
  <c r="H133" i="6"/>
  <c r="H18" i="6"/>
  <c r="H46" i="6"/>
  <c r="H134" i="6"/>
  <c r="H19" i="6"/>
  <c r="H135" i="6"/>
  <c r="H3" i="6"/>
  <c r="H20" i="6"/>
  <c r="H86" i="6"/>
  <c r="H136" i="6"/>
  <c r="H87" i="6"/>
  <c r="H68" i="6"/>
  <c r="H137" i="6"/>
  <c r="H88" i="6"/>
  <c r="H138" i="6"/>
  <c r="H139" i="6"/>
  <c r="H191" i="6"/>
  <c r="H47" i="6"/>
  <c r="H48" i="6"/>
  <c r="H192" i="6"/>
  <c r="H140" i="6"/>
  <c r="H109" i="6"/>
  <c r="H141" i="6"/>
  <c r="H21" i="6"/>
  <c r="H22" i="6"/>
  <c r="H142" i="6"/>
  <c r="H89" i="6"/>
  <c r="H90" i="6"/>
  <c r="H49" i="6"/>
  <c r="H143" i="6"/>
  <c r="H144" i="6"/>
  <c r="H69" i="6"/>
  <c r="H4" i="6"/>
  <c r="H91" i="6"/>
  <c r="H5" i="6"/>
  <c r="H145" i="6"/>
  <c r="H6" i="6"/>
  <c r="H70" i="6"/>
  <c r="H193" i="6"/>
  <c r="H71" i="6"/>
  <c r="H7" i="6"/>
  <c r="H72" i="6"/>
  <c r="H110" i="6"/>
  <c r="H146" i="6"/>
  <c r="H147" i="6"/>
  <c r="H194" i="6"/>
  <c r="H92" i="6"/>
  <c r="H23" i="6"/>
  <c r="H148" i="6"/>
  <c r="H24" i="6"/>
  <c r="H149" i="6"/>
  <c r="H195" i="6"/>
  <c r="H50" i="6"/>
  <c r="H93" i="6"/>
  <c r="H111" i="6"/>
  <c r="H51" i="6"/>
  <c r="H150" i="6"/>
  <c r="H151" i="6"/>
  <c r="H112" i="6"/>
  <c r="H73" i="6"/>
  <c r="H8" i="6"/>
  <c r="H113" i="6"/>
  <c r="H152" i="6"/>
  <c r="H153" i="6"/>
  <c r="H9" i="6"/>
  <c r="H25" i="6"/>
  <c r="H94" i="6"/>
  <c r="H26" i="6"/>
  <c r="H114" i="6"/>
  <c r="H27" i="6"/>
  <c r="H154" i="6"/>
  <c r="H74" i="6"/>
  <c r="H155" i="6"/>
  <c r="H95" i="6"/>
  <c r="H28" i="6"/>
  <c r="H29" i="6"/>
  <c r="H115" i="6"/>
  <c r="H156" i="6"/>
  <c r="H52" i="6"/>
  <c r="H30" i="6"/>
  <c r="H157" i="6"/>
  <c r="H158" i="6"/>
  <c r="H96" i="6"/>
  <c r="H31" i="6"/>
  <c r="H159" i="6"/>
  <c r="H160" i="6"/>
  <c r="H97" i="6"/>
  <c r="H53" i="6"/>
  <c r="H161" i="6"/>
  <c r="H162" i="6"/>
  <c r="H163" i="6"/>
  <c r="H164" i="6"/>
  <c r="H165" i="6"/>
  <c r="H75" i="6"/>
  <c r="H76" i="6"/>
  <c r="H54" i="6"/>
  <c r="H32" i="6"/>
  <c r="H166" i="6"/>
  <c r="H167" i="6"/>
  <c r="H33" i="6"/>
  <c r="H55" i="6"/>
  <c r="H196" i="6"/>
  <c r="H34" i="6"/>
  <c r="H35" i="6"/>
  <c r="H10" i="6"/>
  <c r="H116" i="6"/>
  <c r="H11" i="6"/>
  <c r="H168" i="6"/>
  <c r="H77" i="6"/>
  <c r="H78" i="6"/>
  <c r="H117" i="6"/>
  <c r="H98" i="6"/>
  <c r="H99" i="6"/>
  <c r="H56" i="6"/>
  <c r="H118" i="6"/>
  <c r="H36" i="6"/>
  <c r="H100" i="6"/>
  <c r="H169" i="6"/>
  <c r="H170" i="6"/>
  <c r="H37" i="6"/>
  <c r="H171" i="6"/>
  <c r="H172" i="6"/>
  <c r="H173" i="6"/>
  <c r="H119" i="6"/>
  <c r="H57" i="6"/>
  <c r="H174" i="6"/>
  <c r="H101" i="6"/>
  <c r="H120" i="6"/>
  <c r="H102" i="6"/>
  <c r="H121" i="6"/>
  <c r="H122" i="6"/>
  <c r="H123" i="6"/>
  <c r="H58" i="6"/>
  <c r="H124" i="6"/>
  <c r="H197" i="6"/>
  <c r="H175" i="6"/>
  <c r="H103" i="6"/>
  <c r="H38" i="6"/>
  <c r="H12" i="6"/>
  <c r="H176" i="6"/>
  <c r="H79" i="6"/>
  <c r="H59" i="6"/>
  <c r="H39" i="6"/>
  <c r="H177" i="6"/>
  <c r="H198" i="6"/>
  <c r="H80" i="6"/>
  <c r="H13" i="6"/>
  <c r="H40" i="6"/>
  <c r="H81" i="6"/>
  <c r="H41" i="6"/>
  <c r="H199" i="6"/>
  <c r="H14" i="6"/>
  <c r="H178" i="6"/>
  <c r="H125" i="6"/>
  <c r="H104" i="6"/>
  <c r="H179" i="6"/>
  <c r="H126" i="6"/>
  <c r="H60" i="6"/>
  <c r="H180" i="6"/>
  <c r="H181" i="6"/>
  <c r="H182" i="6"/>
  <c r="H105" i="6"/>
  <c r="H15" i="6"/>
  <c r="H200" i="6"/>
  <c r="H16" i="6"/>
  <c r="H201" i="6"/>
  <c r="H17" i="6"/>
  <c r="H183" i="6"/>
  <c r="H61" i="6"/>
  <c r="H62" i="6"/>
  <c r="H127" i="6"/>
  <c r="H82" i="6"/>
  <c r="H63" i="6"/>
  <c r="H64" i="6"/>
  <c r="H184" i="6"/>
  <c r="H185" i="6"/>
  <c r="H128" i="6"/>
  <c r="H83" i="6"/>
  <c r="H106" i="6"/>
  <c r="H186" i="6"/>
  <c r="H107" i="6"/>
  <c r="H42" i="6"/>
  <c r="H187" i="6"/>
  <c r="H129" i="6"/>
  <c r="DI3" i="6" l="1"/>
  <c r="DI4" i="6"/>
  <c r="DI5" i="6"/>
  <c r="DI6" i="6"/>
  <c r="DI7" i="6"/>
  <c r="DI8" i="6"/>
  <c r="DI9" i="6"/>
  <c r="DI10" i="6"/>
  <c r="DI11" i="6"/>
  <c r="DI12" i="6"/>
  <c r="DI13" i="6"/>
  <c r="DI14" i="6"/>
  <c r="DI15" i="6"/>
  <c r="DI16" i="6"/>
  <c r="DI17" i="6"/>
  <c r="DI18" i="6"/>
  <c r="DI19" i="6"/>
  <c r="DI20" i="6"/>
  <c r="DI21" i="6"/>
  <c r="DI22" i="6"/>
  <c r="DI23" i="6"/>
  <c r="DI24" i="6"/>
  <c r="DI25" i="6"/>
  <c r="DI26" i="6"/>
  <c r="DI27" i="6"/>
  <c r="DI28" i="6"/>
  <c r="DI29" i="6"/>
  <c r="DI30" i="6"/>
  <c r="DI31" i="6"/>
  <c r="DI32" i="6"/>
  <c r="DI33" i="6"/>
  <c r="DI34" i="6"/>
  <c r="DI35" i="6"/>
  <c r="DI36" i="6"/>
  <c r="DI37" i="6"/>
  <c r="DI38" i="6"/>
  <c r="DI39" i="6"/>
  <c r="DI40" i="6"/>
  <c r="DI41" i="6"/>
  <c r="DI42" i="6"/>
  <c r="DI43" i="6"/>
  <c r="DI44" i="6"/>
  <c r="DI45" i="6"/>
  <c r="DI46" i="6"/>
  <c r="DI47" i="6"/>
  <c r="DI48" i="6"/>
  <c r="DI49" i="6"/>
  <c r="DI50" i="6"/>
  <c r="DI51" i="6"/>
  <c r="DI2" i="6"/>
  <c r="G171" i="6" l="1"/>
  <c r="G116" i="6"/>
  <c r="G3" i="6"/>
  <c r="G166" i="6"/>
  <c r="G56" i="6"/>
  <c r="G193" i="6"/>
  <c r="G165" i="6"/>
  <c r="G148" i="6"/>
  <c r="G23" i="6"/>
  <c r="G111" i="6"/>
  <c r="G48" i="6"/>
  <c r="G99" i="6"/>
  <c r="G182" i="6"/>
  <c r="G42" i="6"/>
  <c r="G114" i="6"/>
  <c r="G163" i="6"/>
  <c r="G145" i="6"/>
  <c r="G146" i="6"/>
  <c r="G55" i="6"/>
  <c r="G119" i="6"/>
  <c r="G117" i="6"/>
  <c r="G115" i="6"/>
  <c r="G38" i="6"/>
  <c r="G84" i="6"/>
  <c r="G159" i="6"/>
  <c r="G77" i="6"/>
  <c r="G100" i="6"/>
  <c r="G162" i="6"/>
  <c r="G183" i="6"/>
  <c r="G101" i="6"/>
  <c r="G60" i="6"/>
  <c r="G83" i="6"/>
  <c r="G76" i="6"/>
  <c r="G189" i="6"/>
  <c r="G36" i="6"/>
  <c r="G138" i="6"/>
  <c r="G43" i="6"/>
  <c r="G51" i="6"/>
  <c r="G201" i="6"/>
  <c r="G128" i="6"/>
  <c r="G154" i="6"/>
  <c r="G199" i="6"/>
  <c r="G26" i="6"/>
  <c r="G168" i="6"/>
  <c r="G79" i="6"/>
  <c r="G109" i="6"/>
  <c r="G196" i="6"/>
  <c r="G86" i="6"/>
  <c r="G200" i="6"/>
  <c r="G153" i="6"/>
  <c r="G192" i="6"/>
  <c r="G98" i="6"/>
  <c r="G20" i="6"/>
  <c r="G133" i="6"/>
  <c r="G131" i="6"/>
  <c r="G107" i="6"/>
  <c r="G169" i="6"/>
  <c r="G121" i="6"/>
  <c r="G46" i="6"/>
  <c r="G13" i="6"/>
  <c r="G4" i="6"/>
  <c r="G157" i="6"/>
  <c r="G106" i="6"/>
  <c r="G85" i="6"/>
  <c r="G177" i="6"/>
  <c r="G161" i="6"/>
  <c r="G149" i="6"/>
  <c r="G140" i="6"/>
  <c r="G132" i="6"/>
  <c r="G64" i="6"/>
  <c r="G35" i="6"/>
  <c r="G18" i="6"/>
  <c r="G45" i="6"/>
  <c r="G96" i="6"/>
  <c r="G73" i="6"/>
  <c r="G14" i="6"/>
  <c r="G63" i="6"/>
  <c r="G74" i="6"/>
  <c r="G139" i="6"/>
  <c r="G12" i="6"/>
  <c r="G160" i="6"/>
  <c r="G11" i="6"/>
  <c r="G8" i="6"/>
  <c r="G16" i="6"/>
  <c r="G170" i="6"/>
  <c r="G44" i="6"/>
  <c r="G136" i="6"/>
  <c r="G82" i="6"/>
  <c r="G21" i="6"/>
  <c r="G69" i="6"/>
  <c r="G19" i="6"/>
  <c r="G81" i="6"/>
  <c r="G197" i="6"/>
  <c r="G181" i="6"/>
  <c r="G112" i="6"/>
  <c r="G22" i="6"/>
  <c r="G172" i="6"/>
  <c r="G47" i="6"/>
  <c r="G54" i="6"/>
  <c r="G31" i="6"/>
  <c r="G176" i="6"/>
  <c r="G97" i="6"/>
  <c r="G102" i="6"/>
  <c r="G71" i="6"/>
  <c r="G134" i="6"/>
  <c r="G110" i="6"/>
  <c r="G118" i="6"/>
  <c r="G10" i="6"/>
  <c r="G103" i="6"/>
  <c r="G87" i="6"/>
  <c r="G173" i="6"/>
  <c r="G195" i="6"/>
  <c r="G67" i="6"/>
  <c r="G147" i="6"/>
  <c r="G126" i="6"/>
  <c r="G113" i="6"/>
  <c r="G174" i="6"/>
  <c r="G91" i="6"/>
  <c r="G52" i="6"/>
  <c r="G188" i="6"/>
  <c r="G7" i="6"/>
  <c r="G34" i="6"/>
  <c r="G33" i="6"/>
  <c r="G143" i="6"/>
  <c r="G65" i="6"/>
  <c r="G5" i="6"/>
  <c r="G68" i="6"/>
  <c r="G6" i="6"/>
  <c r="G2" i="6"/>
  <c r="G124" i="6"/>
  <c r="G59" i="6"/>
  <c r="G179" i="6"/>
  <c r="G58" i="6"/>
  <c r="G135" i="6"/>
  <c r="G191" i="6"/>
  <c r="G80" i="6"/>
  <c r="G167" i="6"/>
  <c r="G66" i="6"/>
  <c r="G39" i="6"/>
  <c r="G89" i="6"/>
  <c r="G122" i="6"/>
  <c r="G40" i="6"/>
  <c r="G152" i="6"/>
  <c r="G15" i="6"/>
  <c r="G187" i="6"/>
  <c r="G120" i="6"/>
  <c r="G156" i="6"/>
  <c r="G105" i="6"/>
  <c r="G184" i="6"/>
  <c r="G144" i="6"/>
  <c r="G186" i="6"/>
  <c r="G130" i="6"/>
  <c r="G93" i="6"/>
  <c r="G178" i="6"/>
  <c r="G24" i="6"/>
  <c r="G151" i="6"/>
  <c r="G94" i="6"/>
  <c r="G175" i="6"/>
  <c r="G164" i="6"/>
  <c r="G92" i="6"/>
  <c r="G75" i="6"/>
  <c r="G78" i="6"/>
  <c r="G41" i="6"/>
  <c r="G72" i="6"/>
  <c r="G62" i="6"/>
  <c r="G37" i="6"/>
  <c r="G123" i="6"/>
  <c r="G49" i="6"/>
  <c r="G57" i="6"/>
  <c r="G185" i="6"/>
  <c r="G158" i="6"/>
  <c r="G125" i="6"/>
  <c r="G108" i="6"/>
  <c r="G50" i="6"/>
  <c r="G61" i="6"/>
  <c r="G25" i="6"/>
  <c r="G30" i="6"/>
  <c r="G194" i="6"/>
  <c r="G198" i="6"/>
  <c r="G17" i="6"/>
  <c r="G142" i="6"/>
  <c r="G129" i="6"/>
  <c r="G29" i="6"/>
  <c r="G155" i="6"/>
  <c r="G28" i="6"/>
  <c r="G137" i="6"/>
  <c r="G190" i="6"/>
  <c r="G88" i="6"/>
  <c r="G27" i="6"/>
  <c r="G32" i="6"/>
  <c r="G104" i="6"/>
  <c r="G150" i="6"/>
  <c r="G180" i="6"/>
  <c r="G53" i="6"/>
  <c r="G95" i="6"/>
  <c r="G90" i="6"/>
  <c r="G141" i="6"/>
  <c r="G9" i="6"/>
  <c r="G127" i="6"/>
  <c r="G70" i="6"/>
  <c r="M4" i="6" l="1"/>
  <c r="M7" i="6"/>
  <c r="M9" i="6"/>
  <c r="M10" i="6"/>
  <c r="M5" i="6"/>
  <c r="M11" i="6"/>
  <c r="M12" i="6"/>
  <c r="M13" i="6"/>
  <c r="M15" i="6"/>
  <c r="M6" i="6"/>
  <c r="M8" i="6"/>
  <c r="M16" i="6"/>
  <c r="M2" i="6"/>
  <c r="M3" i="6"/>
  <c r="M17" i="6"/>
  <c r="M14" i="6"/>
  <c r="M133" i="6"/>
  <c r="M171" i="6"/>
  <c r="M182" i="6"/>
  <c r="M131" i="6"/>
  <c r="M158" i="6"/>
  <c r="M162" i="6"/>
  <c r="M168" i="6"/>
  <c r="M176" i="6"/>
  <c r="M130" i="6"/>
  <c r="M143" i="6"/>
  <c r="M174" i="6"/>
  <c r="M153" i="6"/>
  <c r="M181" i="6"/>
  <c r="M86" i="6"/>
  <c r="M99" i="6"/>
  <c r="M102" i="6"/>
  <c r="M103" i="6"/>
  <c r="M91" i="6"/>
  <c r="M95" i="6"/>
  <c r="M105" i="6"/>
  <c r="M84" i="6"/>
  <c r="M87" i="6"/>
  <c r="M89" i="6"/>
  <c r="M94" i="6"/>
  <c r="M96" i="6"/>
  <c r="M104" i="6"/>
  <c r="M106" i="6"/>
  <c r="M90" i="6"/>
  <c r="M85" i="6"/>
  <c r="M100" i="6"/>
  <c r="M107" i="6"/>
  <c r="M88" i="6"/>
  <c r="M93" i="6"/>
  <c r="M92" i="6"/>
  <c r="M97" i="6"/>
  <c r="M101" i="6"/>
  <c r="M98" i="6"/>
  <c r="M150" i="6"/>
  <c r="M157" i="6"/>
  <c r="M161" i="6"/>
  <c r="M178" i="6"/>
  <c r="M136" i="6"/>
  <c r="M142" i="6"/>
  <c r="M166" i="6"/>
  <c r="M172" i="6"/>
  <c r="M149" i="6"/>
  <c r="M163" i="6"/>
  <c r="M173" i="6"/>
  <c r="M145" i="6"/>
  <c r="M146" i="6"/>
  <c r="M164" i="6"/>
  <c r="M179" i="6"/>
  <c r="M186" i="6"/>
  <c r="M137" i="6"/>
  <c r="M159" i="6"/>
  <c r="M165" i="6"/>
  <c r="M160" i="6"/>
  <c r="M169" i="6"/>
  <c r="M138" i="6"/>
  <c r="M152" i="6"/>
  <c r="M154" i="6"/>
  <c r="M184" i="6"/>
  <c r="M187" i="6"/>
  <c r="M139" i="6"/>
  <c r="M177" i="6"/>
  <c r="M185" i="6"/>
  <c r="M188" i="6"/>
  <c r="M191" i="6"/>
  <c r="M198" i="6"/>
  <c r="M189" i="6"/>
  <c r="M192" i="6"/>
  <c r="M195" i="6"/>
  <c r="M200" i="6"/>
  <c r="M190" i="6"/>
  <c r="M194" i="6"/>
  <c r="M196" i="6"/>
  <c r="M201" i="6"/>
  <c r="M193" i="6"/>
  <c r="M197" i="6"/>
  <c r="M199" i="6"/>
  <c r="M148" i="6"/>
  <c r="M155" i="6"/>
  <c r="M151" i="6"/>
  <c r="M167" i="6"/>
  <c r="M134" i="6"/>
  <c r="M140" i="6"/>
  <c r="M147" i="6"/>
  <c r="M135" i="6"/>
  <c r="M156" i="6"/>
  <c r="M141" i="6"/>
  <c r="M144" i="6"/>
  <c r="M170" i="6"/>
  <c r="M180" i="6"/>
  <c r="M132" i="6"/>
  <c r="M175" i="6"/>
  <c r="M183" i="6"/>
  <c r="M129" i="6"/>
  <c r="M22" i="6"/>
  <c r="M32" i="6"/>
  <c r="M18" i="6"/>
  <c r="M24" i="6"/>
  <c r="M25" i="6"/>
  <c r="M38" i="6"/>
  <c r="M28" i="6"/>
  <c r="M26" i="6"/>
  <c r="M29" i="6"/>
  <c r="M31" i="6"/>
  <c r="M33" i="6"/>
  <c r="M36" i="6"/>
  <c r="M40" i="6"/>
  <c r="M19" i="6"/>
  <c r="M27" i="6"/>
  <c r="M41" i="6"/>
  <c r="M42" i="6"/>
  <c r="M34" i="6"/>
  <c r="M39" i="6"/>
  <c r="M20" i="6"/>
  <c r="M21" i="6"/>
  <c r="M23" i="6"/>
  <c r="M30" i="6"/>
  <c r="M35" i="6"/>
  <c r="M37" i="6"/>
  <c r="M44" i="6"/>
  <c r="M61" i="6"/>
  <c r="M47" i="6"/>
  <c r="M56" i="6"/>
  <c r="M62" i="6"/>
  <c r="M45" i="6"/>
  <c r="M46" i="6"/>
  <c r="M48" i="6"/>
  <c r="M43" i="6"/>
  <c r="M49" i="6"/>
  <c r="M50" i="6"/>
  <c r="M55" i="6"/>
  <c r="M57" i="6"/>
  <c r="M58" i="6"/>
  <c r="M63" i="6"/>
  <c r="M59" i="6"/>
  <c r="M60" i="6"/>
  <c r="M64" i="6"/>
  <c r="M52" i="6"/>
  <c r="M51" i="6"/>
  <c r="M53" i="6"/>
  <c r="M54" i="6"/>
  <c r="M72" i="6"/>
  <c r="M80" i="6"/>
  <c r="M83" i="6"/>
  <c r="M68" i="6"/>
  <c r="M73" i="6"/>
  <c r="M82" i="6"/>
  <c r="M67" i="6"/>
  <c r="M77" i="6"/>
  <c r="M79" i="6"/>
  <c r="M81" i="6"/>
  <c r="M70" i="6"/>
  <c r="M75" i="6"/>
  <c r="M78" i="6"/>
  <c r="M65" i="6"/>
  <c r="M76" i="6"/>
  <c r="M66" i="6"/>
  <c r="M69" i="6"/>
  <c r="M71" i="6"/>
  <c r="M74" i="6"/>
  <c r="M128" i="6"/>
  <c r="M116" i="6"/>
  <c r="M121" i="6"/>
  <c r="M125" i="6"/>
  <c r="M110" i="6"/>
  <c r="M112" i="6"/>
  <c r="M118" i="6"/>
  <c r="M122" i="6"/>
  <c r="M127" i="6"/>
  <c r="M108" i="6"/>
  <c r="M119" i="6"/>
  <c r="M123" i="6"/>
  <c r="M114" i="6"/>
  <c r="M115" i="6"/>
  <c r="M126" i="6"/>
  <c r="M109" i="6"/>
  <c r="M113" i="6"/>
  <c r="M124" i="6"/>
  <c r="M111" i="6"/>
  <c r="M117" i="6"/>
  <c r="M120" i="6"/>
</calcChain>
</file>

<file path=xl/sharedStrings.xml><?xml version="1.0" encoding="utf-8"?>
<sst xmlns="http://schemas.openxmlformats.org/spreadsheetml/2006/main" count="3202" uniqueCount="571">
  <si>
    <t>appointment_id</t>
  </si>
  <si>
    <t>patient_id</t>
  </si>
  <si>
    <t>doctor_id</t>
  </si>
  <si>
    <t>appointment_date</t>
  </si>
  <si>
    <t>appointment_time</t>
  </si>
  <si>
    <t>reason_for_visit</t>
  </si>
  <si>
    <t>status</t>
  </si>
  <si>
    <t>A001</t>
  </si>
  <si>
    <t>P034</t>
  </si>
  <si>
    <t>D009</t>
  </si>
  <si>
    <t>Therapy</t>
  </si>
  <si>
    <t>Scheduled</t>
  </si>
  <si>
    <t>A002</t>
  </si>
  <si>
    <t>P032</t>
  </si>
  <si>
    <t>D004</t>
  </si>
  <si>
    <t>No-show</t>
  </si>
  <si>
    <t>A003</t>
  </si>
  <si>
    <t>P048</t>
  </si>
  <si>
    <t>Consultation</t>
  </si>
  <si>
    <t>Cancelled</t>
  </si>
  <si>
    <t>A004</t>
  </si>
  <si>
    <t>P025</t>
  </si>
  <si>
    <t>D006</t>
  </si>
  <si>
    <t>A005</t>
  </si>
  <si>
    <t>P040</t>
  </si>
  <si>
    <t>D003</t>
  </si>
  <si>
    <t>Emergency</t>
  </si>
  <si>
    <t>A006</t>
  </si>
  <si>
    <t>P045</t>
  </si>
  <si>
    <t>Checkup</t>
  </si>
  <si>
    <t>A007</t>
  </si>
  <si>
    <t>P001</t>
  </si>
  <si>
    <t>D007</t>
  </si>
  <si>
    <t>A008</t>
  </si>
  <si>
    <t>P016</t>
  </si>
  <si>
    <t>D010</t>
  </si>
  <si>
    <t>A009</t>
  </si>
  <si>
    <t>P039</t>
  </si>
  <si>
    <t>Follow-up</t>
  </si>
  <si>
    <t>A010</t>
  </si>
  <si>
    <t>P005</t>
  </si>
  <si>
    <t>Completed</t>
  </si>
  <si>
    <t>A011</t>
  </si>
  <si>
    <t>P022</t>
  </si>
  <si>
    <t>A012</t>
  </si>
  <si>
    <t>P029</t>
  </si>
  <si>
    <t>A013</t>
  </si>
  <si>
    <t>P003</t>
  </si>
  <si>
    <t>D002</t>
  </si>
  <si>
    <t>A014</t>
  </si>
  <si>
    <t>P012</t>
  </si>
  <si>
    <t>A015</t>
  </si>
  <si>
    <t>P026</t>
  </si>
  <si>
    <t>A016</t>
  </si>
  <si>
    <t>D008</t>
  </si>
  <si>
    <t>A017</t>
  </si>
  <si>
    <t>P037</t>
  </si>
  <si>
    <t>A018</t>
  </si>
  <si>
    <t>A019</t>
  </si>
  <si>
    <t>D001</t>
  </si>
  <si>
    <t>A020</t>
  </si>
  <si>
    <t>P014</t>
  </si>
  <si>
    <t>A021</t>
  </si>
  <si>
    <t>P028</t>
  </si>
  <si>
    <t>A022</t>
  </si>
  <si>
    <t>A023</t>
  </si>
  <si>
    <t>P047</t>
  </si>
  <si>
    <t>A024</t>
  </si>
  <si>
    <t>P049</t>
  </si>
  <si>
    <t>A025</t>
  </si>
  <si>
    <t>P030</t>
  </si>
  <si>
    <t>A026</t>
  </si>
  <si>
    <t>P046</t>
  </si>
  <si>
    <t>A027</t>
  </si>
  <si>
    <t>D005</t>
  </si>
  <si>
    <t>A028</t>
  </si>
  <si>
    <t>A029</t>
  </si>
  <si>
    <t>A030</t>
  </si>
  <si>
    <t>A031</t>
  </si>
  <si>
    <t>A032</t>
  </si>
  <si>
    <t>A033</t>
  </si>
  <si>
    <t>P021</t>
  </si>
  <si>
    <t>A034</t>
  </si>
  <si>
    <t>A035</t>
  </si>
  <si>
    <t>P036</t>
  </si>
  <si>
    <t>A036</t>
  </si>
  <si>
    <t>P033</t>
  </si>
  <si>
    <t>A037</t>
  </si>
  <si>
    <t>A038</t>
  </si>
  <si>
    <t>A039</t>
  </si>
  <si>
    <t>P023</t>
  </si>
  <si>
    <t>A040</t>
  </si>
  <si>
    <t>P010</t>
  </si>
  <si>
    <t>A041</t>
  </si>
  <si>
    <t>A042</t>
  </si>
  <si>
    <t>A043</t>
  </si>
  <si>
    <t>A044</t>
  </si>
  <si>
    <t>P031</t>
  </si>
  <si>
    <t>A045</t>
  </si>
  <si>
    <t>A046</t>
  </si>
  <si>
    <t>P019</t>
  </si>
  <si>
    <t>A047</t>
  </si>
  <si>
    <t>A048</t>
  </si>
  <si>
    <t>A049</t>
  </si>
  <si>
    <t>A050</t>
  </si>
  <si>
    <t>A051</t>
  </si>
  <si>
    <t>P004</t>
  </si>
  <si>
    <t>A052</t>
  </si>
  <si>
    <t>A053</t>
  </si>
  <si>
    <t>P024</t>
  </si>
  <si>
    <t>A054</t>
  </si>
  <si>
    <t>A055</t>
  </si>
  <si>
    <t>P002</t>
  </si>
  <si>
    <t>A056</t>
  </si>
  <si>
    <t>A057</t>
  </si>
  <si>
    <t>A058</t>
  </si>
  <si>
    <t>A059</t>
  </si>
  <si>
    <t>P027</t>
  </si>
  <si>
    <t>A060</t>
  </si>
  <si>
    <t>P020</t>
  </si>
  <si>
    <t>A061</t>
  </si>
  <si>
    <t>A062</t>
  </si>
  <si>
    <t>A063</t>
  </si>
  <si>
    <t>P050</t>
  </si>
  <si>
    <t>A064</t>
  </si>
  <si>
    <t>P035</t>
  </si>
  <si>
    <t>A065</t>
  </si>
  <si>
    <t>A066</t>
  </si>
  <si>
    <t>A067</t>
  </si>
  <si>
    <t>P043</t>
  </si>
  <si>
    <t>A068</t>
  </si>
  <si>
    <t>A069</t>
  </si>
  <si>
    <t>A070</t>
  </si>
  <si>
    <t>A071</t>
  </si>
  <si>
    <t>A072</t>
  </si>
  <si>
    <t>A073</t>
  </si>
  <si>
    <t>A074</t>
  </si>
  <si>
    <t>A075</t>
  </si>
  <si>
    <t>A076</t>
  </si>
  <si>
    <t>P044</t>
  </si>
  <si>
    <t>A077</t>
  </si>
  <si>
    <t>A078</t>
  </si>
  <si>
    <t>P013</t>
  </si>
  <si>
    <t>A079</t>
  </si>
  <si>
    <t>A080</t>
  </si>
  <si>
    <t>A081</t>
  </si>
  <si>
    <t>A082</t>
  </si>
  <si>
    <t>A083</t>
  </si>
  <si>
    <t>A084</t>
  </si>
  <si>
    <t>A085</t>
  </si>
  <si>
    <t>A086</t>
  </si>
  <si>
    <t>P017</t>
  </si>
  <si>
    <t>A087</t>
  </si>
  <si>
    <t>A088</t>
  </si>
  <si>
    <t>P008</t>
  </si>
  <si>
    <t>A089</t>
  </si>
  <si>
    <t>A090</t>
  </si>
  <si>
    <t>A091</t>
  </si>
  <si>
    <t>A092</t>
  </si>
  <si>
    <t>A093</t>
  </si>
  <si>
    <t>A094</t>
  </si>
  <si>
    <t>P041</t>
  </si>
  <si>
    <t>A095</t>
  </si>
  <si>
    <t>P007</t>
  </si>
  <si>
    <t>A096</t>
  </si>
  <si>
    <t>A097</t>
  </si>
  <si>
    <t>A098</t>
  </si>
  <si>
    <t>A099</t>
  </si>
  <si>
    <t>P011</t>
  </si>
  <si>
    <t>A100</t>
  </si>
  <si>
    <t>A101</t>
  </si>
  <si>
    <t>A102</t>
  </si>
  <si>
    <t>A103</t>
  </si>
  <si>
    <t>A104</t>
  </si>
  <si>
    <t>A105</t>
  </si>
  <si>
    <t>A106</t>
  </si>
  <si>
    <t>A107</t>
  </si>
  <si>
    <t>P009</t>
  </si>
  <si>
    <t>A108</t>
  </si>
  <si>
    <t>A109</t>
  </si>
  <si>
    <t>A110</t>
  </si>
  <si>
    <t>A111</t>
  </si>
  <si>
    <t>A112</t>
  </si>
  <si>
    <t>A113</t>
  </si>
  <si>
    <t>A114</t>
  </si>
  <si>
    <t>P018</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</si>
  <si>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</si>
  <si>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</si>
  <si>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</si>
  <si>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</si>
  <si>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</si>
  <si>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</si>
  <si>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</si>
  <si>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</si>
  <si>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</si>
  <si>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</si>
  <si>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</si>
  <si>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</si>
  <si>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</si>
  <si>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</si>
  <si>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</si>
  <si>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</si>
  <si>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</si>
  <si>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</si>
  <si>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</si>
  <si>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</si>
  <si>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</si>
  <si>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</si>
  <si>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</si>
  <si>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</si>
  <si>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</si>
  <si>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</si>
  <si>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</si>
  <si>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</si>
  <si>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</si>
  <si>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</si>
  <si>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</si>
  <si>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</si>
  <si>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</si>
  <si>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</si>
  <si>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</si>
  <si>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</si>
  <si>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</si>
  <si>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</si>
  <si>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</si>
  <si>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</si>
  <si>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</si>
  <si>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</si>
  <si>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</si>
  <si>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</si>
  <si>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</si>
  <si>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</si>
  <si>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</si>
  <si>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</si>
  <si>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P042</t>
  </si>
  <si>
    <t>A163</t>
  </si>
  <si>
    <t>A164</t>
  </si>
  <si>
    <t>A165</t>
  </si>
  <si>
    <t>A166</t>
  </si>
  <si>
    <t>A167</t>
  </si>
  <si>
    <t>A168</t>
  </si>
  <si>
    <t>A169</t>
  </si>
  <si>
    <t>A170</t>
  </si>
  <si>
    <t>A171</t>
  </si>
  <si>
    <t>A172</t>
  </si>
  <si>
    <t>A173</t>
  </si>
  <si>
    <t>A174</t>
  </si>
  <si>
    <t>A175</t>
  </si>
  <si>
    <t>A176</t>
  </si>
  <si>
    <t>A177</t>
  </si>
  <si>
    <t>A178</t>
  </si>
  <si>
    <t>A179</t>
  </si>
  <si>
    <t>P038</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</si>
  <si>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</si>
  <si>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</si>
  <si>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</si>
  <si>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</si>
  <si>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</si>
  <si>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</si>
  <si>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</si>
  <si>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</si>
  <si>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</si>
  <si>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</si>
  <si>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</si>
  <si>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</si>
  <si>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</si>
  <si>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</si>
  <si>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</si>
  <si>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</si>
  <si>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</si>
  <si>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</si>
  <si>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</si>
  <si>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</si>
  <si>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</si>
  <si>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first_name</t>
  </si>
  <si>
    <t>last_name</t>
  </si>
  <si>
    <t>gender</t>
  </si>
  <si>
    <t>date_of_birth</t>
  </si>
  <si>
    <t>contact_number</t>
  </si>
  <si>
    <t>address</t>
  </si>
  <si>
    <t>registration_date</t>
  </si>
  <si>
    <t>insurance_provider</t>
  </si>
  <si>
    <t>insurance_number</t>
  </si>
  <si>
    <t>email</t>
  </si>
  <si>
    <t>David</t>
  </si>
  <si>
    <t>Williams</t>
  </si>
  <si>
    <t>F</t>
  </si>
  <si>
    <t>789 Pine Rd</t>
  </si>
  <si>
    <t>WellnessCorp</t>
  </si>
  <si>
    <t>INS840674</t>
  </si>
  <si>
    <t>david.williams@mail.com</t>
  </si>
  <si>
    <t>Emily</t>
  </si>
  <si>
    <t>Smith</t>
  </si>
  <si>
    <t>321 Maple Dr</t>
  </si>
  <si>
    <t>PulseSecure</t>
  </si>
  <si>
    <t>INS354079</t>
  </si>
  <si>
    <t>emily.smith@mail.com</t>
  </si>
  <si>
    <t>Laura</t>
  </si>
  <si>
    <t>Jones</t>
  </si>
  <si>
    <t>M</t>
  </si>
  <si>
    <t>INS650929</t>
  </si>
  <si>
    <t>laura.jones@mail.com</t>
  </si>
  <si>
    <t>Michael</t>
  </si>
  <si>
    <t>Johnson</t>
  </si>
  <si>
    <t>123 Elm St</t>
  </si>
  <si>
    <t>HealthIndia</t>
  </si>
  <si>
    <t>INS789944</t>
  </si>
  <si>
    <t>michael.johnson@mail.com</t>
  </si>
  <si>
    <t>Wilson</t>
  </si>
  <si>
    <t>MedCare Plus</t>
  </si>
  <si>
    <t>INS788105</t>
  </si>
  <si>
    <t>david.wilson@mail.com</t>
  </si>
  <si>
    <t>P006</t>
  </si>
  <si>
    <t>Linda</t>
  </si>
  <si>
    <t>INS613758</t>
  </si>
  <si>
    <t>linda.jones@mail.com</t>
  </si>
  <si>
    <t>Alex</t>
  </si>
  <si>
    <t>INS465890</t>
  </si>
  <si>
    <t>alex.johnson@mail.com</t>
  </si>
  <si>
    <t>Davis</t>
  </si>
  <si>
    <t>456 Oak Ave</t>
  </si>
  <si>
    <t>INS545101</t>
  </si>
  <si>
    <t>david.davis@mail.com</t>
  </si>
  <si>
    <t>INS136631</t>
  </si>
  <si>
    <t>laura.davis@mail.com</t>
  </si>
  <si>
    <t>Taylor</t>
  </si>
  <si>
    <t>INS866577</t>
  </si>
  <si>
    <t>michael.taylor@mail.com</t>
  </si>
  <si>
    <t>INS172991</t>
  </si>
  <si>
    <t>emily.jones@mail.com</t>
  </si>
  <si>
    <t>INS104014</t>
  </si>
  <si>
    <t>INS373237</t>
  </si>
  <si>
    <t>laura.johnson@mail.com</t>
  </si>
  <si>
    <t>INS118070</t>
  </si>
  <si>
    <t>alex.taylor@mail.com</t>
  </si>
  <si>
    <t>P015</t>
  </si>
  <si>
    <t>Sarah</t>
  </si>
  <si>
    <t>INS922209</t>
  </si>
  <si>
    <t>sarah.johnson@mail.com</t>
  </si>
  <si>
    <t>INS156958</t>
  </si>
  <si>
    <t>Jane</t>
  </si>
  <si>
    <t>INS182074</t>
  </si>
  <si>
    <t>jane.jones@mail.com</t>
  </si>
  <si>
    <t>INS635017</t>
  </si>
  <si>
    <t>laura.wilson@mail.com</t>
  </si>
  <si>
    <t>Miller</t>
  </si>
  <si>
    <t>INS855073</t>
  </si>
  <si>
    <t>sarah.miller@mail.com</t>
  </si>
  <si>
    <t>Moore</t>
  </si>
  <si>
    <t>INS276089</t>
  </si>
  <si>
    <t>jane.moore@mail.com</t>
  </si>
  <si>
    <t>INS297392</t>
  </si>
  <si>
    <t>michael.wilson@mail.com</t>
  </si>
  <si>
    <t>John</t>
  </si>
  <si>
    <t>Brown</t>
  </si>
  <si>
    <t>INS258823</t>
  </si>
  <si>
    <t>john.brown@mail.com</t>
  </si>
  <si>
    <t>INS730152</t>
  </si>
  <si>
    <t>linda.johnson@mail.com</t>
  </si>
  <si>
    <t>INS493002</t>
  </si>
  <si>
    <t>sarah.brown@mail.com</t>
  </si>
  <si>
    <t>Robert</t>
  </si>
  <si>
    <t>INS833429</t>
  </si>
  <si>
    <t>robert.wilson@mail.com</t>
  </si>
  <si>
    <t>INS598863</t>
  </si>
  <si>
    <t>john.taylor@mail.com</t>
  </si>
  <si>
    <t>INS467654</t>
  </si>
  <si>
    <t>linda.moore@mail.com</t>
  </si>
  <si>
    <t>INS679036</t>
  </si>
  <si>
    <t>alex.moore@mail.com</t>
  </si>
  <si>
    <t>INS630089</t>
  </si>
  <si>
    <t>david.smith@mail.com</t>
  </si>
  <si>
    <t>INS250262</t>
  </si>
  <si>
    <t>emily.moore@mail.com</t>
  </si>
  <si>
    <t>INS542905</t>
  </si>
  <si>
    <t>robert.miller@mail.com</t>
  </si>
  <si>
    <t>INS335362</t>
  </si>
  <si>
    <t>INS544209</t>
  </si>
  <si>
    <t>INS653880</t>
  </si>
  <si>
    <t>alex.smith@mail.com</t>
  </si>
  <si>
    <t>INS897079</t>
  </si>
  <si>
    <t>INS764076</t>
  </si>
  <si>
    <t>INS319963</t>
  </si>
  <si>
    <t>robert.williams@mail.com</t>
  </si>
  <si>
    <t>INS580761</t>
  </si>
  <si>
    <t>INS348710</t>
  </si>
  <si>
    <t>jane.wilson@mail.com</t>
  </si>
  <si>
    <t>INS320984</t>
  </si>
  <si>
    <t>emily.williams@mail.com</t>
  </si>
  <si>
    <t>INS997059</t>
  </si>
  <si>
    <t>INS956748</t>
  </si>
  <si>
    <t>jane.smith@mail.com</t>
  </si>
  <si>
    <t>INS882355</t>
  </si>
  <si>
    <t>linda.brown@mail.com</t>
  </si>
  <si>
    <t>INS364512</t>
  </si>
  <si>
    <t>robert.taylor@mail.com</t>
  </si>
  <si>
    <t>INS701863</t>
  </si>
  <si>
    <t>linda.miller@mail.com</t>
  </si>
  <si>
    <t>INS368799</t>
  </si>
  <si>
    <t>INS337549</t>
  </si>
  <si>
    <t>INS694319</t>
  </si>
  <si>
    <t>emily.miller@mail.com</t>
  </si>
  <si>
    <t>INS584299</t>
  </si>
  <si>
    <t>david.moore@mail.com</t>
  </si>
  <si>
    <t>INS712210</t>
  </si>
  <si>
    <t>specialization</t>
  </si>
  <si>
    <t>phone_number</t>
  </si>
  <si>
    <t>years_experience</t>
  </si>
  <si>
    <t>hospital_branch</t>
  </si>
  <si>
    <t>Dermatology</t>
  </si>
  <si>
    <t>Westside Clinic</t>
  </si>
  <si>
    <t>dr.david.taylor@hospital.com</t>
  </si>
  <si>
    <t>Pediatrics</t>
  </si>
  <si>
    <t>Eastside Clinic</t>
  </si>
  <si>
    <t>dr.jane.davis@hospital.com</t>
  </si>
  <si>
    <t>dr.jane.smith@hospital.com</t>
  </si>
  <si>
    <t>Central Hospital</t>
  </si>
  <si>
    <t>dr.david.jones@hospital.com</t>
  </si>
  <si>
    <t>dr.sarah.taylor@hospital.com</t>
  </si>
  <si>
    <t>dr.alex.davis@hospital.com</t>
  </si>
  <si>
    <t>Oncology</t>
  </si>
  <si>
    <t>dr.robert.davis@hospital.com</t>
  </si>
  <si>
    <t>dr.linda.brown@hospital.com</t>
  </si>
  <si>
    <t>dr.sarah.smith@hospital.com</t>
  </si>
  <si>
    <t>dr.linda.wilson@hospital.com</t>
  </si>
  <si>
    <t>Name</t>
  </si>
  <si>
    <t>Westside</t>
  </si>
  <si>
    <t>Clinic</t>
  </si>
  <si>
    <t>Eastside</t>
  </si>
  <si>
    <t>Central</t>
  </si>
  <si>
    <t>Hospital</t>
  </si>
  <si>
    <t>hospital</t>
  </si>
  <si>
    <t>Branch</t>
  </si>
  <si>
    <t>Questions</t>
  </si>
  <si>
    <t>What is the monthly trend of Appointments?</t>
  </si>
  <si>
    <t>What are the most common reasons For patient Visits?</t>
  </si>
  <si>
    <t>Which doctor Specializations receive the most Appointments?</t>
  </si>
  <si>
    <t>How are Appointments distributed by patient demographics?</t>
  </si>
  <si>
    <t>Row Labels</t>
  </si>
  <si>
    <t>Grand Total</t>
  </si>
  <si>
    <t>Count of appointment_id</t>
  </si>
  <si>
    <t>Jan</t>
  </si>
  <si>
    <t>Feb</t>
  </si>
  <si>
    <t>Mar</t>
  </si>
  <si>
    <t>Apr</t>
  </si>
  <si>
    <t>May</t>
  </si>
  <si>
    <t>Jun</t>
  </si>
  <si>
    <t>Jul</t>
  </si>
  <si>
    <t>Aug</t>
  </si>
  <si>
    <t>Sep</t>
  </si>
  <si>
    <t>Oct</t>
  </si>
  <si>
    <t>Nov</t>
  </si>
  <si>
    <t>Dec</t>
  </si>
  <si>
    <t>name</t>
  </si>
  <si>
    <t>Patient name</t>
  </si>
  <si>
    <t>Gender</t>
  </si>
  <si>
    <t>date of birth</t>
  </si>
  <si>
    <t>speialization</t>
  </si>
  <si>
    <t>years of experience</t>
  </si>
  <si>
    <t>branch</t>
  </si>
  <si>
    <t>Group</t>
  </si>
  <si>
    <t>What is the average no of appointments handled by each doctor?</t>
  </si>
  <si>
    <t>Total No Of Appointments</t>
  </si>
  <si>
    <t>Appointment Status</t>
  </si>
  <si>
    <t>Count</t>
  </si>
  <si>
    <t>What is the total no of completed ,cancelled,Scheduled and No-show appointments?</t>
  </si>
  <si>
    <t>Total No of Appointments in each Status</t>
  </si>
  <si>
    <t>Percentage of Appointments  in each status</t>
  </si>
  <si>
    <t>What percentage of appointments were completed,cancelled,scheduled and No-show?</t>
  </si>
  <si>
    <t>Doctor name</t>
  </si>
  <si>
    <t>David Taylor</t>
  </si>
  <si>
    <t>Jane Davis</t>
  </si>
  <si>
    <t>Jane Smith</t>
  </si>
  <si>
    <t>David Jones</t>
  </si>
  <si>
    <t>Sarah Taylor</t>
  </si>
  <si>
    <t>Alex Davis</t>
  </si>
  <si>
    <t>Robert Davis</t>
  </si>
  <si>
    <t>Linda Brown</t>
  </si>
  <si>
    <t>Sarah Smith</t>
  </si>
  <si>
    <t>Linda Wilson</t>
  </si>
  <si>
    <t>Number of appointments</t>
  </si>
  <si>
    <t>Average no of appointments</t>
  </si>
  <si>
    <t xml:space="preserve"> Average no of appointments handled by each doctor</t>
  </si>
  <si>
    <t>which department doctors have less experience?</t>
  </si>
  <si>
    <t>department doctors have less experience</t>
  </si>
  <si>
    <t>What is the total No of doctors ?</t>
  </si>
  <si>
    <t xml:space="preserve">the total No of doctors </t>
  </si>
  <si>
    <t>Which hospital branch has the highest no of appointments</t>
  </si>
  <si>
    <t>What is the Total No of Completed Appointments?</t>
  </si>
  <si>
    <t>No Missing values</t>
  </si>
  <si>
    <t>No duplicates</t>
  </si>
  <si>
    <t>No Extra Spaces</t>
  </si>
  <si>
    <t>Changed Appointment time datatype 'General' into 'Time'</t>
  </si>
  <si>
    <t>Changed Appointment date datatype 'General' into 'Short Date'</t>
  </si>
  <si>
    <r>
      <t xml:space="preserve">Create a new column named </t>
    </r>
    <r>
      <rPr>
        <b/>
        <sz val="11"/>
        <color theme="1"/>
        <rFont val="Calibri"/>
        <family val="2"/>
        <scheme val="minor"/>
      </rPr>
      <t>Age Group</t>
    </r>
  </si>
  <si>
    <t>Age Group</t>
  </si>
  <si>
    <r>
      <t xml:space="preserve">ADD Doctor name,Specialaization,years of experience ,Hospital &amp;branch name from </t>
    </r>
    <r>
      <rPr>
        <b/>
        <sz val="11"/>
        <color theme="1"/>
        <rFont val="Calibri"/>
        <family val="2"/>
        <scheme val="minor"/>
      </rPr>
      <t xml:space="preserve">doctor table </t>
    </r>
    <r>
      <rPr>
        <sz val="11"/>
        <color theme="1"/>
        <rFont val="Calibri"/>
        <family val="2"/>
        <scheme val="minor"/>
      </rPr>
      <t xml:space="preserve">using </t>
    </r>
    <r>
      <rPr>
        <b/>
        <sz val="11"/>
        <color theme="1"/>
        <rFont val="Calibri"/>
        <family val="2"/>
        <scheme val="minor"/>
      </rPr>
      <t xml:space="preserve">Vlookup </t>
    </r>
    <r>
      <rPr>
        <sz val="11"/>
        <color theme="1"/>
        <rFont val="Calibri"/>
        <family val="2"/>
        <scheme val="minor"/>
      </rPr>
      <t>Function</t>
    </r>
  </si>
  <si>
    <r>
      <t xml:space="preserve">ADD Patient name,Gender,Date of Birth ,Age from </t>
    </r>
    <r>
      <rPr>
        <b/>
        <sz val="11"/>
        <color theme="1"/>
        <rFont val="Calibri"/>
        <family val="2"/>
        <scheme val="minor"/>
      </rPr>
      <t xml:space="preserve">Patient table </t>
    </r>
    <r>
      <rPr>
        <sz val="11"/>
        <color theme="1"/>
        <rFont val="Calibri"/>
        <family val="2"/>
        <scheme val="minor"/>
      </rPr>
      <t xml:space="preserve">using </t>
    </r>
    <r>
      <rPr>
        <b/>
        <sz val="11"/>
        <color theme="1"/>
        <rFont val="Calibri"/>
        <family val="2"/>
        <scheme val="minor"/>
      </rPr>
      <t>Vlookup</t>
    </r>
    <r>
      <rPr>
        <sz val="11"/>
        <color theme="1"/>
        <rFont val="Calibri"/>
        <family val="2"/>
        <scheme val="minor"/>
      </rPr>
      <t xml:space="preserve"> Function</t>
    </r>
  </si>
  <si>
    <t xml:space="preserve">Distinct the hospital_branch into 2 columns and add this columns </t>
  </si>
  <si>
    <t>total appointments</t>
  </si>
  <si>
    <t>total patients</t>
  </si>
  <si>
    <t>total doctors</t>
  </si>
  <si>
    <t>completed appointmnets</t>
  </si>
  <si>
    <t>cancelled appointmnets</t>
  </si>
  <si>
    <t>completion rate</t>
  </si>
  <si>
    <t>Findings</t>
  </si>
  <si>
    <t>1.APPOINTMENTS WORKLOAD</t>
  </si>
  <si>
    <t>The hospital recorded 200 appointments</t>
  </si>
  <si>
    <t>Dr.Sarah Taylor Handled the highest no of Appointments with 29</t>
  </si>
  <si>
    <t>The average workload was 20 appointments per doctor</t>
  </si>
  <si>
    <t>The analysis show that appointment workload is not evenly distributed among doctors,with Dr.Sarah Taylor handling the highest number of appointments</t>
  </si>
  <si>
    <t>2.APPOINTMENT STATUS</t>
  </si>
  <si>
    <t>Completed:46</t>
  </si>
  <si>
    <t>Scheduled:51</t>
  </si>
  <si>
    <t>Cancelled:51</t>
  </si>
  <si>
    <t>No-Show:52</t>
  </si>
  <si>
    <t>No-Show Appointments are the highest category,slightly higher than Scheduled and Cancelled Appointments</t>
  </si>
  <si>
    <t>The hospital has a realtively high number of no-show appointments,indicating that patient attendance coulde be an area for improvement</t>
  </si>
  <si>
    <t>3.MONTHLY APPOINTMENT TREND</t>
  </si>
  <si>
    <t>Highest :April -25 Appointments</t>
  </si>
  <si>
    <t>Lowest : September -11 Appointments</t>
  </si>
  <si>
    <t>Appointment demand varies throughout the year,Reaching it highest  level in April and Its lowest level in September</t>
  </si>
  <si>
    <t>4.REASON FOR VISITS</t>
  </si>
  <si>
    <t>Emergency : 29 Appointments</t>
  </si>
  <si>
    <t>Checkup : 45 Appointments</t>
  </si>
  <si>
    <t>Consultation : 43 Appointments</t>
  </si>
  <si>
    <t>Therapy : 42 Appointments</t>
  </si>
  <si>
    <t>Follow-up : 41 Appointments</t>
  </si>
  <si>
    <t>Checkup is the most common reason for visitibg the hospital</t>
  </si>
  <si>
    <t>Routine Checkups are the most common reason for hospital visits ,while emergency visits have the lowest frequency</t>
  </si>
  <si>
    <t xml:space="preserve">5.SPECIALIZATION </t>
  </si>
  <si>
    <t>Pediatrics : 98</t>
  </si>
  <si>
    <t>Dermatology : 70</t>
  </si>
  <si>
    <t>Oncology : 32</t>
  </si>
  <si>
    <t>Pediatrics Accounts for almost half of all appointments</t>
  </si>
  <si>
    <t>Pediatrics has the highest appointment demand,showing that this specialization recieves significantly more patient visits than the other specialities</t>
  </si>
  <si>
    <t>6.HOSPITAL BRANCH</t>
  </si>
  <si>
    <t>Central hospital : 84</t>
  </si>
  <si>
    <t>Eastside Clinic : 62</t>
  </si>
  <si>
    <t>Westside Clinic : 54</t>
  </si>
  <si>
    <t>Central hospital handles the highest number of appointments</t>
  </si>
  <si>
    <t>Central hospital has the highest  appointment volume,indicating greater patient activity at this branch</t>
  </si>
  <si>
    <t>7.PATIENT GENDER</t>
  </si>
  <si>
    <t>Male : 65%</t>
  </si>
  <si>
    <t>Female : 35%</t>
  </si>
  <si>
    <t>it contains more male patients</t>
  </si>
  <si>
    <t>The patient data shows a higher proportion of male patients compared with female patients</t>
  </si>
  <si>
    <t>Recommendations</t>
  </si>
  <si>
    <t>1.Reduce No-Show Appointments</t>
  </si>
  <si>
    <t>Send SMS/Whatsapp reminders before Appointments</t>
  </si>
  <si>
    <t>Allow patients to confirm or reschedule appointments</t>
  </si>
  <si>
    <t>Maintain a list of frequently missed appointments</t>
  </si>
  <si>
    <t>2.Manage  Doctor Workload</t>
  </si>
  <si>
    <t>Monitor doctor wise Appointment workload</t>
  </si>
  <si>
    <t>Distribute appointments more evenly where possible</t>
  </si>
  <si>
    <t xml:space="preserve">Add appointment slots  during high demand periods </t>
  </si>
  <si>
    <t>3.Improve High Demand Specializations</t>
  </si>
  <si>
    <t xml:space="preserve">Provide sufficient doctors and appointment slots for high demand specializations </t>
  </si>
  <si>
    <t xml:space="preserve">increase resources during busy periods </t>
  </si>
  <si>
    <t>monitor demand regularly</t>
  </si>
  <si>
    <t>4.Plan According to Monthly Demand</t>
  </si>
  <si>
    <t>Analyze monthly appointment patterns regularly</t>
  </si>
  <si>
    <t>increase staff or appointment slots during high demand months</t>
  </si>
  <si>
    <t>plan leav and staffing according to expected demand</t>
  </si>
  <si>
    <t>5.Improve branch level planning</t>
  </si>
  <si>
    <t xml:space="preserve">Allocate staff according to branch workload </t>
  </si>
  <si>
    <t>Review capacity at high-volume branches</t>
  </si>
  <si>
    <t>improve resources where patient demand  is higher</t>
  </si>
  <si>
    <t>HOSPITAL MANAGEMENT DASHBOARD</t>
  </si>
  <si>
    <t>JAN 2023 - DEC 2023</t>
  </si>
  <si>
    <t>which  doctors have the highest number of appointments in monthly?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</si>
</sst>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36"/>
      <color theme="1"/>
      <name val="Algerian"/>
      <family val="5"/>
    </font>
    <font>
      <sz val="36"/>
      <color theme="2"/>
      <name val="Algerian"/>
      <family val="5"/>
    </font>
    <font>
      <sz val="18"/>
      <color theme="0"/>
      <name val="Algerian"/>
      <family val="5"/>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rgb="FF00206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0" fontId="0" fillId="0" borderId="10" xfId="0" applyBorder="1"/>
    <xf numFmtId="14" fontId="0" fillId="0" borderId="10" xfId="0" applyNumberFormat="1" applyBorder="1"/>
    <xf numFmtId="14" fontId="0" fillId="0" borderId="0" xfId="0" applyNumberFormat="1"/>
    <xf numFmtId="164" fontId="0" fillId="0" borderId="10" xfId="0" applyNumberFormat="1" applyBorder="1"/>
    <xf numFmtId="164" fontId="0" fillId="0" borderId="0" xfId="0" applyNumberFormat="1"/>
    <xf numFmtId="0" fontId="13" fillId="33" borderId="10" xfId="0" applyFont="1" applyFill="1" applyBorder="1"/>
    <xf numFmtId="14" fontId="13" fillId="33" borderId="10" xfId="0" applyNumberFormat="1" applyFont="1" applyFill="1" applyBorder="1"/>
    <xf numFmtId="164" fontId="13" fillId="33" borderId="10" xfId="0" applyNumberFormat="1" applyFont="1" applyFill="1" applyBorder="1"/>
    <xf numFmtId="0" fontId="16" fillId="0" borderId="0" xfId="0" applyFont="1"/>
    <xf numFmtId="2" fontId="13" fillId="33" borderId="10" xfId="0" applyNumberFormat="1" applyFont="1" applyFill="1" applyBorder="1"/>
    <xf numFmtId="2" fontId="0" fillId="0" borderId="10" xfId="0" applyNumberFormat="1" applyBorder="1"/>
    <xf numFmtId="2" fontId="0" fillId="0" borderId="0" xfId="0" applyNumberFormat="1"/>
    <xf numFmtId="1" fontId="13" fillId="33" borderId="10" xfId="0" applyNumberFormat="1" applyFont="1" applyFill="1" applyBorder="1"/>
    <xf numFmtId="1" fontId="0" fillId="0" borderId="10" xfId="0" applyNumberFormat="1" applyBorder="1"/>
    <xf numFmtId="1" fontId="0" fillId="0" borderId="0" xfId="0" applyNumberFormat="1"/>
    <xf numFmtId="0" fontId="0" fillId="0" borderId="0" xfId="0" applyBorder="1"/>
    <xf numFmtId="14" fontId="0" fillId="0" borderId="0" xfId="0" applyNumberFormat="1" applyBorder="1"/>
    <xf numFmtId="21" fontId="0" fillId="0" borderId="0" xfId="0" applyNumberFormat="1" applyBorder="1"/>
    <xf numFmtId="0" fontId="0" fillId="0" borderId="0" xfId="0" applyFont="1"/>
    <xf numFmtId="0" fontId="0" fillId="0" borderId="0" xfId="0" pivotButton="1"/>
    <xf numFmtId="0" fontId="0" fillId="0" borderId="0" xfId="0" applyAlignment="1">
      <alignment horizontal="left"/>
    </xf>
    <xf numFmtId="0" fontId="0" fillId="0" borderId="0" xfId="0" applyNumberFormat="1"/>
    <xf numFmtId="0" fontId="13" fillId="33" borderId="11" xfId="0" applyFont="1" applyFill="1" applyBorder="1"/>
    <xf numFmtId="0" fontId="0" fillId="0" borderId="10" xfId="0" applyNumberFormat="1" applyBorder="1"/>
    <xf numFmtId="0" fontId="0" fillId="34" borderId="10" xfId="0" applyFill="1" applyBorder="1"/>
    <xf numFmtId="10" fontId="0" fillId="0" borderId="10" xfId="0" applyNumberFormat="1" applyBorder="1"/>
    <xf numFmtId="0" fontId="0" fillId="35" borderId="10" xfId="0" applyNumberFormat="1" applyFill="1" applyBorder="1"/>
    <xf numFmtId="14" fontId="17" fillId="36" borderId="12" xfId="0" applyNumberFormat="1" applyFont="1" applyFill="1" applyBorder="1"/>
    <xf numFmtId="9" fontId="0" fillId="0" borderId="10" xfId="0" applyNumberFormat="1" applyBorder="1"/>
    <xf numFmtId="0" fontId="18" fillId="0" borderId="0" xfId="0" applyFont="1"/>
    <xf numFmtId="10" fontId="0" fillId="0" borderId="0" xfId="0" applyNumberFormat="1" applyBorder="1"/>
    <xf numFmtId="0" fontId="0" fillId="0" borderId="0" xfId="0" applyFill="1" applyBorder="1"/>
    <xf numFmtId="10" fontId="0" fillId="0" borderId="0" xfId="0" applyNumberFormat="1" applyFill="1" applyBorder="1"/>
    <xf numFmtId="0" fontId="0" fillId="37" borderId="0" xfId="0" applyFill="1"/>
    <xf numFmtId="0" fontId="0" fillId="36" borderId="0" xfId="0" applyFill="1"/>
    <xf numFmtId="0" fontId="19" fillId="37" borderId="0" xfId="0" applyFont="1" applyFill="1"/>
    <xf numFmtId="0" fontId="0" fillId="0" borderId="0" xfId="0" applyFill="1"/>
    <xf numFmtId="0" fontId="20" fillId="37" borderId="0" xfId="0" applyFont="1" applyFill="1"/>
    <xf numFmtId="0" fontId="21" fillId="37" borderId="0" xfId="0" applyFont="1" applyFill="1"/>
    <xf numFmtId="0" fontId="17" fillId="37" borderId="0" xfId="0" applyFont="1" applyFill="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[hsptll data2.xlsx]1.appointment doctor!PivotTable1</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APPOINTMENTS</a:t>
            </a:r>
            <a:r>
              <a:rPr lang="en-US" sz="1400" baseline="0">
                <a:latin typeface="Times New Roman" panose="02020603050405020304" pitchFamily="18" charset="0"/>
                <a:cs typeface="Times New Roman" panose="02020603050405020304" pitchFamily="18" charset="0"/>
              </a:rPr>
              <a:t> BY DOCTOR</a:t>
            </a:r>
            <a:endParaRPr lang="en-US" sz="1400">
              <a:latin typeface="Times New Roman" panose="02020603050405020304" pitchFamily="18" charset="0"/>
              <a:cs typeface="Times New Roman" panose="02020603050405020304" pitchFamily="18" charset="0"/>
            </a:endParaRPr>
          </a:p>
        </c:rich>
      </c:tx>
      <c:layout>
        <c:manualLayout>
          <c:xMode val="edge"/>
          <c:yMode val="edge"/>
          <c:x val="0.13241312390021348"/>
          <c:y val="4.971430584606310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'1.appointment doctor'!$B$3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'1.appointment doctor'!$A$4:$A$14</c:f>
              <c:strCache>
                <c:ptCount val="10"/>
                <c:pt idx="0">
                  <c:v>Alex Davis</c:v>
                </c:pt>
                <c:pt idx="1">
                  <c:v>David Jones</c:v>
                </c:pt>
                <c:pt idx="2">
                  <c:v>David Taylor</c:v>
                </c:pt>
                <c:pt idx="3">
                  <c:v>Jane Davis</c:v>
                </c:pt>
                <c:pt idx="4">
                  <c:v>Jane Smith</c:v>
                </c:pt>
                <c:pt idx="5">
                  <c:v>Linda Brown</c:v>
                </c:pt>
                <c:pt idx="6">
                  <c:v>Linda Wilson</c:v>
                </c:pt>
                <c:pt idx="7">
                  <c:v>Robert Davis</c:v>
                </c:pt>
                <c:pt idx="8">
                  <c:v>Sarah Smith</c:v>
                </c:pt>
                <c:pt idx="9">
                  <c:v>Sarah Taylor</c:v>
                </c:pt>
              </c:strCache>
            </c:strRef>
          </c:cat>
          <c:val>
            <c:numRef>
              <c:f>'1.appointment doctor'!$B$4:$B$14</c:f>
              <c:numCache>
                <c:formatCode>General</c:formatCode>
                <c:ptCount val="10"/>
                <c:pt idx="0">
                  <c:v>24</c:v>
                </c:pt>
                <c:pt idx="1">
                  <c:v>14</c:v>
                </c:pt>
                <c:pt idx="2">
                  <c:v>25</c:v>
                </c:pt>
                <c:pt idx="3">
                  <c:v>21</c:v>
                </c:pt>
                <c:pt idx="4">
                  <c:v>22</c:v>
                </c:pt>
                <c:pt idx="5">
                  <c:v>16</c:v>
                </c:pt>
                <c:pt idx="6">
                  <c:v>19</c:v>
                </c:pt>
                <c:pt idx="7">
                  <c:v>13</c:v>
                </c:pt>
                <c:pt idx="8">
                  <c:v>17</c:v>
                </c:pt>
                <c:pt idx="9">
                  <c:v>29</c:v>
                </c:pt>
              </c:numCache>
            </c:numRef>
          </c:val>
          <c:extLst>
            <c:ext xmlns:c16="http://schemas.microsoft.com/office/drawing/2014/chart" uri="{C3380CC4-5D6E-409C-BE32-E72D297353CC}">
              <c16:uniqueId val="{00000000-0F5F-4929-8E53-95648DFA03F2}"/>
            </c:ext>
          </c:extLst>
        </c:ser>
        <c:dLbls>
          <c:showLegendKey val="0"/>
          <c:showVal val="1"/>
          <c:showCatName val="0"/>
          <c:showSerName val="0"/>
          <c:showPercent val="0"/>
          <c:showBubbleSize val="0"/>
        </c:dLbls>
        <c:gapWidth val="79"/>
        <c:shape val="box"/>
        <c:axId val="1422398047"/>
        <c:axId val="1208783807"/>
        <c:axId val="0"/>
      </c:bar3DChart>
      <c:catAx>
        <c:axId val="1422398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08783807"/>
        <c:crosses val="autoZero"/>
        <c:auto val="1"/>
        <c:lblAlgn val="ctr"/>
        <c:lblOffset val="100"/>
        <c:noMultiLvlLbl val="0"/>
      </c:catAx>
      <c:valAx>
        <c:axId val="1208783807"/>
        <c:scaling>
          <c:orientation val="minMax"/>
        </c:scaling>
        <c:delete val="1"/>
        <c:axPos val="l"/>
        <c:numFmt formatCode="General" sourceLinked="1"/>
        <c:majorTickMark val="none"/>
        <c:minorTickMark val="none"/>
        <c:tickLblPos val="nextTo"/>
        <c:crossAx val="142239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bg1">
            <a:lumMod val="75000"/>
            <a:shade val="30000"/>
            <a:satMod val="115000"/>
          </a:schemeClr>
        </a:gs>
        <a:gs pos="50000">
          <a:schemeClr val="bg1">
            <a:lumMod val="75000"/>
            <a:shade val="67500"/>
            <a:satMod val="115000"/>
          </a:schemeClr>
        </a:gs>
        <a:gs pos="100000">
          <a:schemeClr val="bg1">
            <a:lumMod val="75000"/>
            <a:shade val="100000"/>
            <a:satMod val="115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[hsptll data2.xlsx]2.monthly apntmnt !PivotTable3</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MONTHLY</a:t>
            </a:r>
            <a:r>
              <a:rPr lang="en-US" sz="1400" baseline="0">
                <a:latin typeface="Times New Roman" panose="02020603050405020304" pitchFamily="18" charset="0"/>
                <a:cs typeface="Times New Roman" panose="02020603050405020304" pitchFamily="18" charset="0"/>
              </a:rPr>
              <a:t> APPOINTMENT TREND</a:t>
            </a:r>
            <a:endParaRPr lang="en-US" sz="14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33696037317053"/>
          <c:y val="0.29951342700050992"/>
          <c:w val="0.72189522142223816"/>
          <c:h val="0.52552417614464864"/>
        </c:manualLayout>
      </c:layout>
      <c:lineChart>
        <c:grouping val="standard"/>
        <c:varyColors val="0"/>
        <c:ser>
          <c:idx val="0"/>
          <c:order val="0"/>
          <c:tx>
            <c:strRef>
              <c:f>'2.monthly apntmnt '!$B$3</c:f>
              <c:strCache>
                <c:ptCount val="1"/>
                <c:pt idx="0">
                  <c:v>Total</c:v>
                </c:pt>
              </c:strCache>
            </c:strRef>
          </c:tx>
          <c:spPr>
            <a:ln w="2222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'2.monthly apntmnt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'2.monthly apntmnt '!$B$4:$B$16</c:f>
              <c:numCache>
                <c:formatCode>General</c:formatCode>
                <c:ptCount val="12"/>
                <c:pt idx="0">
                  <c:v>20</c:v>
                </c:pt>
                <c:pt idx="1">
                  <c:v>14</c:v>
                </c:pt>
                <c:pt idx="2">
                  <c:v>19</c:v>
                </c:pt>
                <c:pt idx="3">
                  <c:v>25</c:v>
                </c:pt>
                <c:pt idx="4">
                  <c:v>19</c:v>
                </c:pt>
                <c:pt idx="5">
                  <c:v>18</c:v>
                </c:pt>
                <c:pt idx="6">
                  <c:v>16</c:v>
                </c:pt>
                <c:pt idx="7">
                  <c:v>15</c:v>
                </c:pt>
                <c:pt idx="8">
                  <c:v>11</c:v>
                </c:pt>
                <c:pt idx="9">
                  <c:v>14</c:v>
                </c:pt>
                <c:pt idx="10">
                  <c:v>17</c:v>
                </c:pt>
                <c:pt idx="11">
                  <c:v>12</c:v>
                </c:pt>
              </c:numCache>
            </c:numRef>
          </c:val>
          <c:smooth val="0"/>
          <c:extLst>
            <c:ext xmlns:c16="http://schemas.microsoft.com/office/drawing/2014/chart" uri="{C3380CC4-5D6E-409C-BE32-E72D297353CC}">
              <c16:uniqueId val="{00000000-6841-4C37-A576-CEDBC275D89B}"/>
            </c:ext>
          </c:extLst>
        </c:ser>
        <c:dLbls>
          <c:showLegendKey val="0"/>
          <c:showVal val="1"/>
          <c:showCatName val="0"/>
          <c:showSerName val="0"/>
          <c:showPercent val="0"/>
          <c:showBubbleSize val="0"/>
        </c:dLbls>
        <c:smooth val="0"/>
        <c:axId val="1422411247"/>
        <c:axId val="1217293455"/>
      </c:lineChart>
      <c:catAx>
        <c:axId val="1422411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17293455"/>
        <c:crosses val="autoZero"/>
        <c:auto val="1"/>
        <c:lblAlgn val="ctr"/>
        <c:lblOffset val="100"/>
        <c:noMultiLvlLbl val="0"/>
      </c:catAx>
      <c:valAx>
        <c:axId val="1217293455"/>
        <c:scaling>
          <c:orientation val="minMax"/>
        </c:scaling>
        <c:delete val="1"/>
        <c:axPos val="l"/>
        <c:numFmt formatCode="General" sourceLinked="1"/>
        <c:majorTickMark val="none"/>
        <c:minorTickMark val="none"/>
        <c:tickLblPos val="nextTo"/>
        <c:crossAx val="142241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[hsptll data2.xlsx]3.reason for visit!PivotTable2</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REASON FOR VISIT</a:t>
            </a:r>
          </a:p>
        </c:rich>
      </c:tx>
      <c:layout>
        <c:manualLayout>
          <c:xMode val="edge"/>
          <c:yMode val="edge"/>
          <c:x val="0.25077155831621961"/>
          <c:y val="5.6310700274547917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48013848164221"/>
          <c:y val="0.34623761070962022"/>
          <c:w val="0.39660621844531413"/>
          <c:h val="0.51252483850477593"/>
        </c:manualLayout>
      </c:layout>
      <c:bar3DChart>
        <c:barDir val="bar"/>
        <c:grouping val="stacked"/>
        <c:varyColors val="0"/>
        <c:ser>
          <c:idx val="0"/>
          <c:order val="0"/>
          <c:tx>
            <c:strRef>
              <c:f>'3.reason for visit'!$B$3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'3.reason for visit'!$A$4:$A$9</c:f>
              <c:strCache>
                <c:ptCount val="5"/>
                <c:pt idx="0">
                  <c:v>Checkup</c:v>
                </c:pt>
                <c:pt idx="1">
                  <c:v>Consultation</c:v>
                </c:pt>
                <c:pt idx="2">
                  <c:v>Emergency</c:v>
                </c:pt>
                <c:pt idx="3">
                  <c:v>Follow-up</c:v>
                </c:pt>
                <c:pt idx="4">
                  <c:v>Therapy</c:v>
                </c:pt>
              </c:strCache>
            </c:strRef>
          </c:cat>
          <c:val>
            <c:numRef>
              <c:f>'3.reason for visit'!$B$4:$B$9</c:f>
              <c:numCache>
                <c:formatCode>General</c:formatCode>
                <c:ptCount val="5"/>
                <c:pt idx="0">
                  <c:v>45</c:v>
                </c:pt>
                <c:pt idx="1">
                  <c:v>43</c:v>
                </c:pt>
                <c:pt idx="2">
                  <c:v>29</c:v>
                </c:pt>
                <c:pt idx="3">
                  <c:v>41</c:v>
                </c:pt>
                <c:pt idx="4">
                  <c:v>42</c:v>
                </c:pt>
              </c:numCache>
            </c:numRef>
          </c:val>
          <c:extLst>
            <c:ext xmlns:c16="http://schemas.microsoft.com/office/drawing/2014/chart" uri="{C3380CC4-5D6E-409C-BE32-E72D297353CC}">
              <c16:uniqueId val="{00000000-CC8A-4241-A9AC-72513371280A}"/>
            </c:ext>
          </c:extLst>
        </c:ser>
        <c:dLbls>
          <c:showLegendKey val="0"/>
          <c:showVal val="1"/>
          <c:showCatName val="0"/>
          <c:showSerName val="0"/>
          <c:showPercent val="0"/>
          <c:showBubbleSize val="0"/>
        </c:dLbls>
        <c:gapWidth val="79"/>
        <c:shape val="box"/>
        <c:axId val="1456511247"/>
        <c:axId val="1213101967"/>
        <c:axId val="0"/>
      </c:bar3DChart>
      <c:catAx>
        <c:axId val="145651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13101967"/>
        <c:crosses val="autoZero"/>
        <c:auto val="1"/>
        <c:lblAlgn val="ctr"/>
        <c:lblOffset val="100"/>
        <c:noMultiLvlLbl val="0"/>
      </c:catAx>
      <c:valAx>
        <c:axId val="1213101967"/>
        <c:scaling>
          <c:orientation val="minMax"/>
        </c:scaling>
        <c:delete val="1"/>
        <c:axPos val="b"/>
        <c:numFmt formatCode="General" sourceLinked="1"/>
        <c:majorTickMark val="none"/>
        <c:minorTickMark val="none"/>
        <c:tickLblPos val="nextTo"/>
        <c:crossAx val="145651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[hsptll data2.xlsx]4.specialization!PivotTable4</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SPECIALIZATION DEMAND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1185246305582423E-2"/>
          <c:y val="0.32129676587036787"/>
          <c:w val="0.75966919168484348"/>
          <c:h val="0.43589083144267982"/>
        </c:manualLayout>
      </c:layout>
      <c:bar3DChart>
        <c:barDir val="col"/>
        <c:grouping val="stacked"/>
        <c:varyColors val="0"/>
        <c:ser>
          <c:idx val="0"/>
          <c:order val="0"/>
          <c:tx>
            <c:strRef>
              <c:f>'4.specialization'!$B$3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'4.specialization'!$A$4:$A$7</c:f>
              <c:strCache>
                <c:ptCount val="3"/>
                <c:pt idx="0">
                  <c:v>Dermatology</c:v>
                </c:pt>
                <c:pt idx="1">
                  <c:v>Oncology</c:v>
                </c:pt>
                <c:pt idx="2">
                  <c:v>Pediatrics</c:v>
                </c:pt>
              </c:strCache>
            </c:strRef>
          </c:cat>
          <c:val>
            <c:numRef>
              <c:f>'4.specialization'!$B$4:$B$7</c:f>
              <c:numCache>
                <c:formatCode>General</c:formatCode>
                <c:ptCount val="3"/>
                <c:pt idx="0">
                  <c:v>70</c:v>
                </c:pt>
                <c:pt idx="1">
                  <c:v>32</c:v>
                </c:pt>
                <c:pt idx="2">
                  <c:v>98</c:v>
                </c:pt>
              </c:numCache>
            </c:numRef>
          </c:val>
          <c:extLst>
            <c:ext xmlns:c16="http://schemas.microsoft.com/office/drawing/2014/chart" uri="{C3380CC4-5D6E-409C-BE32-E72D297353CC}">
              <c16:uniqueId val="{00000000-09B5-484B-BDDA-FAE88AF18072}"/>
            </c:ext>
          </c:extLst>
        </c:ser>
        <c:dLbls>
          <c:showLegendKey val="0"/>
          <c:showVal val="1"/>
          <c:showCatName val="0"/>
          <c:showSerName val="0"/>
          <c:showPercent val="0"/>
          <c:showBubbleSize val="0"/>
        </c:dLbls>
        <c:gapWidth val="79"/>
        <c:shape val="box"/>
        <c:axId val="1356686623"/>
        <c:axId val="1421463295"/>
        <c:axId val="0"/>
      </c:bar3DChart>
      <c:catAx>
        <c:axId val="1356686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21463295"/>
        <c:crosses val="autoZero"/>
        <c:auto val="1"/>
        <c:lblAlgn val="ctr"/>
        <c:lblOffset val="100"/>
        <c:noMultiLvlLbl val="0"/>
      </c:catAx>
      <c:valAx>
        <c:axId val="1421463295"/>
        <c:scaling>
          <c:orientation val="minMax"/>
        </c:scaling>
        <c:delete val="1"/>
        <c:axPos val="l"/>
        <c:numFmt formatCode="General" sourceLinked="1"/>
        <c:majorTickMark val="none"/>
        <c:minorTickMark val="none"/>
        <c:tickLblPos val="nextTo"/>
        <c:crossAx val="135668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[hsptll data2.xlsx]6.gender!PivotTable5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PATIENT DEMOGRAPHICS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76000"/>
            </a:schemeClr>
          </a:solidFill>
          <a:ln>
            <a:noFill/>
          </a:ln>
          <a:effectLst>
            <a:outerShdw blurRad="254000" sx="102000" sy="102000" algn="ctr" rotWithShape="0">
              <a:prstClr val="black">
                <a:alpha val="20000"/>
              </a:prstClr>
            </a:outerShdw>
          </a:effectLst>
          <a:sp3d/>
        </c:spPr>
      </c:pivotFmt>
      <c:pivotFmt>
        <c:idx val="8"/>
        <c:spPr>
          <a:solidFill>
            <a:schemeClr val="accent1">
              <a:tint val="77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041607079839401E-2"/>
          <c:y val="0.36714949693788279"/>
          <c:w val="0.74682438884816027"/>
          <c:h val="0.52868383639545058"/>
        </c:manualLayout>
      </c:layout>
      <c:pie3DChart>
        <c:varyColors val="1"/>
        <c:ser>
          <c:idx val="0"/>
          <c:order val="0"/>
          <c:tx>
            <c:strRef>
              <c:f>'6.gender'!$B$3</c:f>
              <c:strCache>
                <c:ptCount val="1"/>
                <c:pt idx="0">
                  <c:v>Total</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3F7-48A5-BC34-5F46BBFF1D3D}"/>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3F7-48A5-BC34-5F46BBFF1D3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'6.gender'!$A$4:$A$6</c:f>
              <c:strCache>
                <c:ptCount val="2"/>
                <c:pt idx="0">
                  <c:v>F</c:v>
                </c:pt>
                <c:pt idx="1">
                  <c:v>M</c:v>
                </c:pt>
              </c:strCache>
            </c:strRef>
          </c:cat>
          <c:val>
            <c:numRef>
              <c:f>'6.gender'!$B$4:$B$6</c:f>
              <c:numCache>
                <c:formatCode>General</c:formatCode>
                <c:ptCount val="2"/>
                <c:pt idx="0">
                  <c:v>70</c:v>
                </c:pt>
                <c:pt idx="1">
                  <c:v>130</c:v>
                </c:pt>
              </c:numCache>
            </c:numRef>
          </c:val>
          <c:extLst>
            <c:ext xmlns:c16="http://schemas.microsoft.com/office/drawing/2014/chart" uri="{C3380CC4-5D6E-409C-BE32-E72D297353CC}">
              <c16:uniqueId val="{00000004-23F7-48A5-BC34-5F46BBFF1D3D}"/>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27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[hsptll data2.xlsx]5.hsptlbranch!PivotTable6</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APPOINTMENTS BY HOSPITAL BRANCH</a:t>
            </a:r>
          </a:p>
        </c:rich>
      </c:tx>
      <c:layout>
        <c:manualLayout>
          <c:xMode val="edge"/>
          <c:yMode val="edge"/>
          <c:x val="0.11357254133229093"/>
          <c:y val="3.2575364730797952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'5.hsptlbranch'!$B$3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'5.hsptlbranch'!$A$4:$A$7</c:f>
              <c:strCache>
                <c:ptCount val="3"/>
                <c:pt idx="0">
                  <c:v>Central</c:v>
                </c:pt>
                <c:pt idx="1">
                  <c:v>Eastside</c:v>
                </c:pt>
                <c:pt idx="2">
                  <c:v>Westside</c:v>
                </c:pt>
              </c:strCache>
            </c:strRef>
          </c:cat>
          <c:val>
            <c:numRef>
              <c:f>'5.hsptlbranch'!$B$4:$B$7</c:f>
              <c:numCache>
                <c:formatCode>General</c:formatCode>
                <c:ptCount val="3"/>
                <c:pt idx="0">
                  <c:v>84</c:v>
                </c:pt>
                <c:pt idx="1">
                  <c:v>62</c:v>
                </c:pt>
                <c:pt idx="2">
                  <c:v>54</c:v>
                </c:pt>
              </c:numCache>
            </c:numRef>
          </c:val>
          <c:extLst>
            <c:ext xmlns:c16="http://schemas.microsoft.com/office/drawing/2014/chart" uri="{C3380CC4-5D6E-409C-BE32-E72D297353CC}">
              <c16:uniqueId val="{00000000-64CA-41B1-A5E9-AE8F11EFB247}"/>
            </c:ext>
          </c:extLst>
        </c:ser>
        <c:dLbls>
          <c:showLegendKey val="0"/>
          <c:showVal val="1"/>
          <c:showCatName val="0"/>
          <c:showSerName val="0"/>
          <c:showPercent val="0"/>
          <c:showBubbleSize val="0"/>
        </c:dLbls>
        <c:gapWidth val="79"/>
        <c:shape val="box"/>
        <c:axId val="1464702719"/>
        <c:axId val="1421488671"/>
        <c:axId val="0"/>
      </c:bar3DChart>
      <c:catAx>
        <c:axId val="1464702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21488671"/>
        <c:crosses val="autoZero"/>
        <c:auto val="1"/>
        <c:lblAlgn val="ctr"/>
        <c:lblOffset val="100"/>
        <c:noMultiLvlLbl val="0"/>
      </c:catAx>
      <c:valAx>
        <c:axId val="1421488671"/>
        <c:scaling>
          <c:orientation val="minMax"/>
        </c:scaling>
        <c:delete val="1"/>
        <c:axPos val="l"/>
        <c:numFmt formatCode="General" sourceLinked="1"/>
        <c:majorTickMark val="none"/>
        <c:minorTickMark val="none"/>
        <c:tickLblPos val="nextTo"/>
        <c:crossAx val="146470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[hsptll data2.xlsx]7.Status!PivotTable1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APPOINTMENT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a:noFill/>
          </a:ln>
          <a:effectLst>
            <a:outerShdw blurRad="254000" sx="102000" sy="102000" algn="ctr" rotWithShape="0">
              <a:prstClr val="black">
                <a:alpha val="20000"/>
              </a:prstClr>
            </a:outerShdw>
          </a:effectLst>
          <a:sp3d/>
        </c:spPr>
      </c:pivotFmt>
      <c:pivotFmt>
        <c:idx val="8"/>
        <c:spPr>
          <a:solidFill>
            <a:schemeClr val="accent1">
              <a:shade val="86000"/>
            </a:schemeClr>
          </a:solidFill>
          <a:ln>
            <a:noFill/>
          </a:ln>
          <a:effectLst>
            <a:outerShdw blurRad="254000" sx="102000" sy="102000" algn="ctr" rotWithShape="0">
              <a:prstClr val="black">
                <a:alpha val="20000"/>
              </a:prstClr>
            </a:outerShdw>
          </a:effectLst>
          <a:sp3d/>
        </c:spPr>
      </c:pivotFmt>
      <c:pivotFmt>
        <c:idx val="9"/>
        <c:spPr>
          <a:solidFill>
            <a:schemeClr val="accent1">
              <a:tint val="86000"/>
            </a:schemeClr>
          </a:solidFill>
          <a:ln>
            <a:noFill/>
          </a:ln>
          <a:effectLst>
            <a:outerShdw blurRad="254000" sx="102000" sy="102000" algn="ctr" rotWithShape="0">
              <a:prstClr val="black">
                <a:alpha val="20000"/>
              </a:prstClr>
            </a:outerShdw>
          </a:effectLst>
          <a:sp3d/>
        </c:spPr>
      </c:pivotFmt>
      <c:pivotFmt>
        <c:idx val="10"/>
        <c:spPr>
          <a:solidFill>
            <a:schemeClr val="accent1">
              <a:tint val="58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597392007464701E-2"/>
          <c:y val="0.24671540307585962"/>
          <c:w val="0.76216207349081366"/>
          <c:h val="0.68578922426363376"/>
        </c:manualLayout>
      </c:layout>
      <c:pie3DChart>
        <c:varyColors val="1"/>
        <c:ser>
          <c:idx val="0"/>
          <c:order val="0"/>
          <c:tx>
            <c:strRef>
              <c:f>'7.Status'!$B$3</c:f>
              <c:strCache>
                <c:ptCount val="1"/>
                <c:pt idx="0">
                  <c:v>Total</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9D2-4AB9-8F92-812AAC1D8F35}"/>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9D2-4AB9-8F92-812AAC1D8F35}"/>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9D2-4AB9-8F92-812AAC1D8F35}"/>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F9D2-4AB9-8F92-812AAC1D8F3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'7.Status'!$A$4:$A$8</c:f>
              <c:strCache>
                <c:ptCount val="4"/>
                <c:pt idx="0">
                  <c:v>Cancelled</c:v>
                </c:pt>
                <c:pt idx="1">
                  <c:v>Completed</c:v>
                </c:pt>
                <c:pt idx="2">
                  <c:v>No-show</c:v>
                </c:pt>
                <c:pt idx="3">
                  <c:v>Scheduled</c:v>
                </c:pt>
              </c:strCache>
            </c:strRef>
          </c:cat>
          <c:val>
            <c:numRef>
              <c:f>'7.Status'!$B$4:$B$8</c:f>
              <c:numCache>
                <c:formatCode>General</c:formatCode>
                <c:ptCount val="4"/>
                <c:pt idx="0">
                  <c:v>51</c:v>
                </c:pt>
                <c:pt idx="1">
                  <c:v>46</c:v>
                </c:pt>
                <c:pt idx="2">
                  <c:v>52</c:v>
                </c:pt>
                <c:pt idx="3">
                  <c:v>51</c:v>
                </c:pt>
              </c:numCache>
            </c:numRef>
          </c:val>
          <c:extLst>
            <c:ext xmlns:c16="http://schemas.microsoft.com/office/drawing/2014/chart" uri="{C3380CC4-5D6E-409C-BE32-E72D297353CC}">
              <c16:uniqueId val="{00000008-F9D2-4AB9-8F92-812AAC1D8F35}"/>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27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[hsptll data2.xlsx]1.appointment doctor!PivotTable1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'1.appointment doctor'!$B$3</c:f>
              <c:strCache>
                <c:ptCount val="1"/>
                <c:pt idx="0">
                  <c:v>Total</c:v>
                </c:pt>
              </c:strCache>
            </c:strRef>
          </c:tx>
          <c:spPr>
            <a:solidFill>
              <a:schemeClr val="accent1"/>
            </a:solidFill>
            <a:ln>
              <a:noFill/>
            </a:ln>
            <a:effectLst/>
            <a:sp3d/>
          </c:spPr>
          <c:invertIfNegative val="0"/>
          <c:cat>
            <c:strRef>
              <c:f>'1.appointment doctor'!$A$4:$A$14</c:f>
              <c:strCache>
                <c:ptCount val="10"/>
                <c:pt idx="0">
                  <c:v>Alex Davis</c:v>
                </c:pt>
                <c:pt idx="1">
                  <c:v>David Jones</c:v>
                </c:pt>
                <c:pt idx="2">
                  <c:v>David Taylor</c:v>
                </c:pt>
                <c:pt idx="3">
                  <c:v>Jane Davis</c:v>
                </c:pt>
                <c:pt idx="4">
                  <c:v>Jane Smith</c:v>
                </c:pt>
                <c:pt idx="5">
                  <c:v>Linda Brown</c:v>
                </c:pt>
                <c:pt idx="6">
                  <c:v>Linda Wilson</c:v>
                </c:pt>
                <c:pt idx="7">
                  <c:v>Robert Davis</c:v>
                </c:pt>
                <c:pt idx="8">
                  <c:v>Sarah Smith</c:v>
                </c:pt>
                <c:pt idx="9">
                  <c:v>Sarah Taylor</c:v>
                </c:pt>
              </c:strCache>
            </c:strRef>
          </c:cat>
          <c:val>
            <c:numRef>
              <c:f>'1.appointment doctor'!$B$4:$B$14</c:f>
              <c:numCache>
                <c:formatCode>General</c:formatCode>
                <c:ptCount val="10"/>
                <c:pt idx="0">
                  <c:v>24</c:v>
                </c:pt>
                <c:pt idx="1">
                  <c:v>14</c:v>
                </c:pt>
                <c:pt idx="2">
                  <c:v>25</c:v>
                </c:pt>
                <c:pt idx="3">
                  <c:v>21</c:v>
                </c:pt>
                <c:pt idx="4">
                  <c:v>22</c:v>
                </c:pt>
                <c:pt idx="5">
                  <c:v>16</c:v>
                </c:pt>
                <c:pt idx="6">
                  <c:v>19</c:v>
                </c:pt>
                <c:pt idx="7">
                  <c:v>13</c:v>
                </c:pt>
                <c:pt idx="8">
                  <c:v>17</c:v>
                </c:pt>
                <c:pt idx="9">
                  <c:v>29</c:v>
                </c:pt>
              </c:numCache>
            </c:numRef>
          </c:val>
          <c:extLst>
            <c:ext xmlns:c16="http://schemas.microsoft.com/office/drawing/2014/chart" uri="{C3380CC4-5D6E-409C-BE32-E72D297353CC}">
              <c16:uniqueId val="{00000000-FF64-4B83-AB16-05281C489A1E}"/>
            </c:ext>
          </c:extLst>
        </c:ser>
        <c:dLbls>
          <c:showLegendKey val="0"/>
          <c:showVal val="0"/>
          <c:showCatName val="0"/>
          <c:showSerName val="0"/>
          <c:showPercent val="0"/>
          <c:showBubbleSize val="0"/>
        </c:dLbls>
        <c:gapWidth val="150"/>
        <c:shape val="box"/>
        <c:axId val="1422398047"/>
        <c:axId val="1208783807"/>
        <c:axId val="0"/>
      </c:bar3DChart>
      <c:catAx>
        <c:axId val="1422398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783807"/>
        <c:crosses val="autoZero"/>
        <c:auto val="1"/>
        <c:lblAlgn val="ctr"/>
        <c:lblOffset val="100"/>
        <c:noMultiLvlLbl val="0"/>
      </c:catAx>
      <c:valAx>
        <c:axId val="1208783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39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[hsptll data2.xlsx]3.reason for visit!PivotTable2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'3.reason for visit'!$B$3</c:f>
              <c:strCache>
                <c:ptCount val="1"/>
                <c:pt idx="0">
                  <c:v>Total</c:v>
                </c:pt>
              </c:strCache>
            </c:strRef>
          </c:tx>
          <c:spPr>
            <a:solidFill>
              <a:schemeClr val="accent1"/>
            </a:solidFill>
            <a:ln>
              <a:noFill/>
            </a:ln>
            <a:effectLst/>
            <a:sp3d/>
          </c:spPr>
          <c:invertIfNegative val="0"/>
          <c:cat>
            <c:strRef>
              <c:f>'3.reason for visit'!$A$4:$A$9</c:f>
              <c:strCache>
                <c:ptCount val="5"/>
                <c:pt idx="0">
                  <c:v>Checkup</c:v>
                </c:pt>
                <c:pt idx="1">
                  <c:v>Consultation</c:v>
                </c:pt>
                <c:pt idx="2">
                  <c:v>Emergency</c:v>
                </c:pt>
                <c:pt idx="3">
                  <c:v>Follow-up</c:v>
                </c:pt>
                <c:pt idx="4">
                  <c:v>Therapy</c:v>
                </c:pt>
              </c:strCache>
            </c:strRef>
          </c:cat>
          <c:val>
            <c:numRef>
              <c:f>'3.reason for visit'!$B$4:$B$9</c:f>
              <c:numCache>
                <c:formatCode>General</c:formatCode>
                <c:ptCount val="5"/>
                <c:pt idx="0">
                  <c:v>45</c:v>
                </c:pt>
                <c:pt idx="1">
                  <c:v>43</c:v>
                </c:pt>
                <c:pt idx="2">
                  <c:v>29</c:v>
                </c:pt>
                <c:pt idx="3">
                  <c:v>41</c:v>
                </c:pt>
                <c:pt idx="4">
                  <c:v>42</c:v>
                </c:pt>
              </c:numCache>
            </c:numRef>
          </c:val>
          <c:extLst>
            <c:ext xmlns:c16="http://schemas.microsoft.com/office/drawing/2014/chart" uri="{C3380CC4-5D6E-409C-BE32-E72D297353CC}">
              <c16:uniqueId val="{00000000-7ED2-4C9B-B9FF-85F1D3AB623E}"/>
            </c:ext>
          </c:extLst>
        </c:ser>
        <c:dLbls>
          <c:showLegendKey val="0"/>
          <c:showVal val="0"/>
          <c:showCatName val="0"/>
          <c:showSerName val="0"/>
          <c:showPercent val="0"/>
          <c:showBubbleSize val="0"/>
        </c:dLbls>
        <c:gapWidth val="150"/>
        <c:shape val="box"/>
        <c:axId val="1456511247"/>
        <c:axId val="1213101967"/>
        <c:axId val="0"/>
      </c:bar3DChart>
      <c:catAx>
        <c:axId val="1456511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101967"/>
        <c:crosses val="autoZero"/>
        <c:auto val="1"/>
        <c:lblAlgn val="ctr"/>
        <c:lblOffset val="100"/>
        <c:noMultiLvlLbl val="0"/>
      </c:catAx>
      <c:valAx>
        <c:axId val="1213101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51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[hsptll data2.xlsx]2.monthly apntmnt !PivotTable3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053359844826764"/>
          <c:y val="0.1829305336832896"/>
          <c:w val="0.72189522142223816"/>
          <c:h val="0.52552417614464864"/>
        </c:manualLayout>
      </c:layout>
      <c:bar3DChart>
        <c:barDir val="col"/>
        <c:grouping val="stacked"/>
        <c:varyColors val="0"/>
        <c:ser>
          <c:idx val="0"/>
          <c:order val="0"/>
          <c:tx>
            <c:strRef>
              <c:f>'2.monthly apntmnt '!$B$3</c:f>
              <c:strCache>
                <c:ptCount val="1"/>
                <c:pt idx="0">
                  <c:v>Total</c:v>
                </c:pt>
              </c:strCache>
            </c:strRef>
          </c:tx>
          <c:spPr>
            <a:solidFill>
              <a:schemeClr val="accent1"/>
            </a:solidFill>
            <a:ln>
              <a:noFill/>
            </a:ln>
            <a:effectLst/>
            <a:sp3d/>
          </c:spPr>
          <c:invertIfNegative val="0"/>
          <c:cat>
            <c:strRef>
              <c:f>'2.monthly apntmnt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'2.monthly apntmnt '!$B$4:$B$16</c:f>
              <c:numCache>
                <c:formatCode>General</c:formatCode>
                <c:ptCount val="12"/>
                <c:pt idx="0">
                  <c:v>20</c:v>
                </c:pt>
                <c:pt idx="1">
                  <c:v>14</c:v>
                </c:pt>
                <c:pt idx="2">
                  <c:v>19</c:v>
                </c:pt>
                <c:pt idx="3">
                  <c:v>25</c:v>
                </c:pt>
                <c:pt idx="4">
                  <c:v>19</c:v>
                </c:pt>
                <c:pt idx="5">
                  <c:v>18</c:v>
                </c:pt>
                <c:pt idx="6">
                  <c:v>16</c:v>
                </c:pt>
                <c:pt idx="7">
                  <c:v>15</c:v>
                </c:pt>
                <c:pt idx="8">
                  <c:v>11</c:v>
                </c:pt>
                <c:pt idx="9">
                  <c:v>14</c:v>
                </c:pt>
                <c:pt idx="10">
                  <c:v>17</c:v>
                </c:pt>
                <c:pt idx="11">
                  <c:v>12</c:v>
                </c:pt>
              </c:numCache>
            </c:numRef>
          </c:val>
          <c:extLst>
            <c:ext xmlns:c16="http://schemas.microsoft.com/office/drawing/2014/chart" uri="{C3380CC4-5D6E-409C-BE32-E72D297353CC}">
              <c16:uniqueId val="{00000000-6829-4215-935F-939416390D35}"/>
            </c:ext>
          </c:extLst>
        </c:ser>
        <c:dLbls>
          <c:showLegendKey val="0"/>
          <c:showVal val="0"/>
          <c:showCatName val="0"/>
          <c:showSerName val="0"/>
          <c:showPercent val="0"/>
          <c:showBubbleSize val="0"/>
        </c:dLbls>
        <c:gapWidth val="150"/>
        <c:shape val="box"/>
        <c:axId val="1422411247"/>
        <c:axId val="1217293455"/>
        <c:axId val="0"/>
      </c:bar3DChart>
      <c:catAx>
        <c:axId val="142241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293455"/>
        <c:crosses val="autoZero"/>
        <c:auto val="1"/>
        <c:lblAlgn val="ctr"/>
        <c:lblOffset val="100"/>
        <c:noMultiLvlLbl val="0"/>
      </c:catAx>
      <c:valAx>
        <c:axId val="1217293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41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[hsptll data2.xlsx]4.specialization!PivotTable4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'4.specialization'!$B$3</c:f>
              <c:strCache>
                <c:ptCount val="1"/>
                <c:pt idx="0">
                  <c:v>Total</c:v>
                </c:pt>
              </c:strCache>
            </c:strRef>
          </c:tx>
          <c:spPr>
            <a:solidFill>
              <a:schemeClr val="accent1"/>
            </a:solidFill>
            <a:ln>
              <a:noFill/>
            </a:ln>
            <a:effectLst/>
            <a:sp3d/>
          </c:spPr>
          <c:invertIfNegative val="0"/>
          <c:cat>
            <c:strRef>
              <c:f>'4.specialization'!$A$4:$A$7</c:f>
              <c:strCache>
                <c:ptCount val="3"/>
                <c:pt idx="0">
                  <c:v>Dermatology</c:v>
                </c:pt>
                <c:pt idx="1">
                  <c:v>Oncology</c:v>
                </c:pt>
                <c:pt idx="2">
                  <c:v>Pediatrics</c:v>
                </c:pt>
              </c:strCache>
            </c:strRef>
          </c:cat>
          <c:val>
            <c:numRef>
              <c:f>'4.specialization'!$B$4:$B$7</c:f>
              <c:numCache>
                <c:formatCode>General</c:formatCode>
                <c:ptCount val="3"/>
                <c:pt idx="0">
                  <c:v>70</c:v>
                </c:pt>
                <c:pt idx="1">
                  <c:v>32</c:v>
                </c:pt>
                <c:pt idx="2">
                  <c:v>98</c:v>
                </c:pt>
              </c:numCache>
            </c:numRef>
          </c:val>
          <c:extLst>
            <c:ext xmlns:c16="http://schemas.microsoft.com/office/drawing/2014/chart" uri="{C3380CC4-5D6E-409C-BE32-E72D297353CC}">
              <c16:uniqueId val="{00000000-63C3-4F29-AA1A-F9C193C4C148}"/>
            </c:ext>
          </c:extLst>
        </c:ser>
        <c:dLbls>
          <c:showLegendKey val="0"/>
          <c:showVal val="0"/>
          <c:showCatName val="0"/>
          <c:showSerName val="0"/>
          <c:showPercent val="0"/>
          <c:showBubbleSize val="0"/>
        </c:dLbls>
        <c:gapWidth val="150"/>
        <c:shape val="box"/>
        <c:axId val="1356686623"/>
        <c:axId val="1421463295"/>
        <c:axId val="0"/>
      </c:bar3DChart>
      <c:catAx>
        <c:axId val="1356686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463295"/>
        <c:crosses val="autoZero"/>
        <c:auto val="1"/>
        <c:lblAlgn val="ctr"/>
        <c:lblOffset val="100"/>
        <c:noMultiLvlLbl val="0"/>
      </c:catAx>
      <c:valAx>
        <c:axId val="1421463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68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[hsptll data2.xlsx]6.gender!PivotTable5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041607079839401E-2"/>
          <c:y val="0.36714949693788279"/>
          <c:w val="0.74682438884816027"/>
          <c:h val="0.52868383639545058"/>
        </c:manualLayout>
      </c:layout>
      <c:pie3DChart>
        <c:varyColors val="1"/>
        <c:ser>
          <c:idx val="0"/>
          <c:order val="0"/>
          <c:tx>
            <c:strRef>
              <c:f>'6.gender'!$B$3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7C4-4C92-BEC3-31E8CC9E124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7C4-4C92-BEC3-31E8CC9E1240}"/>
              </c:ext>
            </c:extLst>
          </c:dPt>
          <c:cat>
            <c:strRef>
              <c:f>'6.gender'!$A$4:$A$6</c:f>
              <c:strCache>
                <c:ptCount val="2"/>
                <c:pt idx="0">
                  <c:v>F</c:v>
                </c:pt>
                <c:pt idx="1">
                  <c:v>M</c:v>
                </c:pt>
              </c:strCache>
            </c:strRef>
          </c:cat>
          <c:val>
            <c:numRef>
              <c:f>'6.gender'!$B$4:$B$6</c:f>
              <c:numCache>
                <c:formatCode>General</c:formatCode>
                <c:ptCount val="2"/>
                <c:pt idx="0">
                  <c:v>70</c:v>
                </c:pt>
                <c:pt idx="1">
                  <c:v>130</c:v>
                </c:pt>
              </c:numCache>
            </c:numRef>
          </c:val>
          <c:extLst>
            <c:ext xmlns:c16="http://schemas.microsoft.com/office/drawing/2014/chart" uri="{C3380CC4-5D6E-409C-BE32-E72D297353CC}">
              <c16:uniqueId val="{00000000-9A8D-4986-8330-286130CF5FE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[hsptll data2.xlsx]5.hsptlbranch!PivotTable6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'5.hsptlbranch'!$B$3</c:f>
              <c:strCache>
                <c:ptCount val="1"/>
                <c:pt idx="0">
                  <c:v>Total</c:v>
                </c:pt>
              </c:strCache>
            </c:strRef>
          </c:tx>
          <c:spPr>
            <a:solidFill>
              <a:schemeClr val="accent1"/>
            </a:solidFill>
            <a:ln>
              <a:noFill/>
            </a:ln>
            <a:effectLst/>
            <a:sp3d/>
          </c:spPr>
          <c:invertIfNegative val="0"/>
          <c:cat>
            <c:strRef>
              <c:f>'5.hsptlbranch'!$A$4:$A$7</c:f>
              <c:strCache>
                <c:ptCount val="3"/>
                <c:pt idx="0">
                  <c:v>Central</c:v>
                </c:pt>
                <c:pt idx="1">
                  <c:v>Eastside</c:v>
                </c:pt>
                <c:pt idx="2">
                  <c:v>Westside</c:v>
                </c:pt>
              </c:strCache>
            </c:strRef>
          </c:cat>
          <c:val>
            <c:numRef>
              <c:f>'5.hsptlbranch'!$B$4:$B$7</c:f>
              <c:numCache>
                <c:formatCode>General</c:formatCode>
                <c:ptCount val="3"/>
                <c:pt idx="0">
                  <c:v>84</c:v>
                </c:pt>
                <c:pt idx="1">
                  <c:v>62</c:v>
                </c:pt>
                <c:pt idx="2">
                  <c:v>54</c:v>
                </c:pt>
              </c:numCache>
            </c:numRef>
          </c:val>
          <c:extLst>
            <c:ext xmlns:c16="http://schemas.microsoft.com/office/drawing/2014/chart" uri="{C3380CC4-5D6E-409C-BE32-E72D297353CC}">
              <c16:uniqueId val="{00000000-31C5-48E3-8C10-62C6EAD1B31D}"/>
            </c:ext>
          </c:extLst>
        </c:ser>
        <c:dLbls>
          <c:showLegendKey val="0"/>
          <c:showVal val="0"/>
          <c:showCatName val="0"/>
          <c:showSerName val="0"/>
          <c:showPercent val="0"/>
          <c:showBubbleSize val="0"/>
        </c:dLbls>
        <c:gapWidth val="150"/>
        <c:shape val="box"/>
        <c:axId val="1464702719"/>
        <c:axId val="1421488671"/>
        <c:axId val="0"/>
      </c:bar3DChart>
      <c:catAx>
        <c:axId val="1464702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488671"/>
        <c:crosses val="autoZero"/>
        <c:auto val="1"/>
        <c:lblAlgn val="ctr"/>
        <c:lblOffset val="100"/>
        <c:noMultiLvlLbl val="0"/>
      </c:catAx>
      <c:valAx>
        <c:axId val="142148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70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[hsptll data2.xlsx]7.Status!PivotTable1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333333333333333E-2"/>
          <c:y val="0.20772929425488482"/>
          <c:w val="0.76216207349081366"/>
          <c:h val="0.68578922426363376"/>
        </c:manualLayout>
      </c:layout>
      <c:pie3DChart>
        <c:varyColors val="1"/>
        <c:ser>
          <c:idx val="0"/>
          <c:order val="0"/>
          <c:tx>
            <c:strRef>
              <c:f>'7.Status'!$B$3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9CC-4250-AA37-27914639197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9CC-4250-AA37-27914639197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9CC-4250-AA37-27914639197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9CC-4250-AA37-279146391971}"/>
              </c:ext>
            </c:extLst>
          </c:dPt>
          <c:cat>
            <c:strRef>
              <c:f>'7.Status'!$A$4:$A$8</c:f>
              <c:strCache>
                <c:ptCount val="4"/>
                <c:pt idx="0">
                  <c:v>Cancelled</c:v>
                </c:pt>
                <c:pt idx="1">
                  <c:v>Completed</c:v>
                </c:pt>
                <c:pt idx="2">
                  <c:v>No-show</c:v>
                </c:pt>
                <c:pt idx="3">
                  <c:v>Scheduled</c:v>
                </c:pt>
              </c:strCache>
            </c:strRef>
          </c:cat>
          <c:val>
            <c:numRef>
              <c:f>'7.Status'!$B$4:$B$8</c:f>
              <c:numCache>
                <c:formatCode>General</c:formatCode>
                <c:ptCount val="4"/>
                <c:pt idx="0">
                  <c:v>51</c:v>
                </c:pt>
                <c:pt idx="1">
                  <c:v>46</c:v>
                </c:pt>
                <c:pt idx="2">
                  <c:v>52</c:v>
                </c:pt>
                <c:pt idx="3">
                  <c:v>51</c:v>
                </c:pt>
              </c:numCache>
            </c:numRef>
          </c:val>
          <c:extLst>
            <c:ext xmlns:c16="http://schemas.microsoft.com/office/drawing/2014/chart" uri="{C3380CC4-5D6E-409C-BE32-E72D297353CC}">
              <c16:uniqueId val="{00000000-726F-4EC6-9243-2FB31DCF94E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emf"/><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2.xml"/><Relationship Id="rId16" Type="http://schemas.openxmlformats.org/officeDocument/2006/relationships/image" Target="../media/image9.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5" Type="http://schemas.openxmlformats.org/officeDocument/2006/relationships/chart" Target="../charts/chart5.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175171</xdr:colOff>
      <xdr:row>5</xdr:row>
      <xdr:rowOff>47624</xdr:rowOff>
    </xdr:from>
    <xdr:to>
      <xdr:col>27</xdr:col>
      <xdr:colOff>142873</xdr:colOff>
      <xdr:row>61</xdr:row>
      <xdr:rowOff>175172</xdr:rowOff>
    </xdr:to>
    <xdr:sp macro="" textlink="">
      <xdr:nvSpPr>
        <xdr:cNvPr id="2" name="Rectangle: Rounded Corners 1">
          <a:extLst>
            <a:ext uri="{FF2B5EF4-FFF2-40B4-BE49-F238E27FC236}">
              <a16:creationId xmlns:a16="http://schemas.microsoft.com/office/drawing/2014/main" id="{1D3A4FAB-0C9E-4954-9D2D-D2545D93B6A5}"/>
            </a:ext>
          </a:extLst>
        </xdr:cNvPr>
        <xdr:cNvSpPr/>
      </xdr:nvSpPr>
      <xdr:spPr>
        <a:xfrm>
          <a:off x="175171" y="1452797"/>
          <a:ext cx="16518568" cy="10689925"/>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207693</xdr:colOff>
      <xdr:row>14</xdr:row>
      <xdr:rowOff>28578</xdr:rowOff>
    </xdr:from>
    <xdr:to>
      <xdr:col>10</xdr:col>
      <xdr:colOff>180433</xdr:colOff>
      <xdr:row>26</xdr:row>
      <xdr:rowOff>94267</xdr:rowOff>
    </xdr:to>
    <xdr:graphicFrame macro="">
      <xdr:nvGraphicFramePr>
        <xdr:cNvPr id="3" name="Chart 2">
          <a:extLst>
            <a:ext uri="{FF2B5EF4-FFF2-40B4-BE49-F238E27FC236}">
              <a16:creationId xmlns:a16="http://schemas.microsoft.com/office/drawing/2014/main" id="{1218D926-5C76-44B5-ACF6-892C425ED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344322</xdr:colOff>
      <xdr:row>13</xdr:row>
      <xdr:rowOff>168603</xdr:rowOff>
    </xdr:from>
    <xdr:to>
      <xdr:col>3</xdr:col>
      <xdr:colOff>96672</xdr:colOff>
      <xdr:row>25</xdr:row>
      <xdr:rowOff>25728</xdr:rowOff>
    </xdr:to>
    <mc:AlternateContent xmlns:mc="http://schemas.openxmlformats.org/markup-compatibility/2006" xmlns:a14="http://schemas.microsoft.com/office/drawing/2010/main">
      <mc:Choice Requires="a14">
        <xdr:graphicFrame macro="">
          <xdr:nvGraphicFramePr>
            <xdr:cNvPr id="4" name="Months 2">
              <a:extLst>
                <a:ext uri="{FF2B5EF4-FFF2-40B4-BE49-F238E27FC236}">
                  <a16:creationId xmlns:a16="http://schemas.microsoft.com/office/drawing/2014/main" id="{6D9395AD-D7B6-4E54-BDA0-48EBDE9569F7}"/>
                </a:ext>
              </a:extLst>
            </xdr:cNvPr>
            <xdr:cNvGraphicFramePr/>
          </xdr:nvGraphicFramePr>
          <xdr:xfrm>
            <a:off x="0" y="0"/>
            <a:ext cx="0" cy="0"/>
          </xdr:xfrm>
          <a:graphic>
            <a:graphicData uri="http://schemas.microsoft.com/office/drawing/2010/slicer">
              <sle:slicer xmlns:sle="http://schemas.microsoft.com/office/drawing/2010/slicer" name="Months 2"/>
            </a:graphicData>
          </a:graphic>
        </xdr:graphicFrame>
      </mc:Choice>
      <mc:Fallback xmlns="">
        <xdr:sp macro="" textlink="">
          <xdr:nvSpPr>
            <xdr:cNvPr id="0" name=""/>
            <xdr:cNvSpPr>
              <a:spLocks noTextEdit="1"/>
            </xdr:cNvSpPr>
          </xdr:nvSpPr>
          <xdr:spPr>
            <a:xfrm>
              <a:off x="344322" y="3038473"/>
              <a:ext cx="1570759" cy="2083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287997</xdr:colOff>
      <xdr:row>14</xdr:row>
      <xdr:rowOff>48228</xdr:rowOff>
    </xdr:from>
    <xdr:to>
      <xdr:col>17</xdr:col>
      <xdr:colOff>349652</xdr:colOff>
      <xdr:row>26</xdr:row>
      <xdr:rowOff>22891</xdr:rowOff>
    </xdr:to>
    <xdr:graphicFrame macro="">
      <xdr:nvGraphicFramePr>
        <xdr:cNvPr id="5" name="Chart 4">
          <a:extLst>
            <a:ext uri="{FF2B5EF4-FFF2-40B4-BE49-F238E27FC236}">
              <a16:creationId xmlns:a16="http://schemas.microsoft.com/office/drawing/2014/main" id="{000344C9-4D00-4480-9577-433BD12B7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488184</xdr:colOff>
      <xdr:row>14</xdr:row>
      <xdr:rowOff>35194</xdr:rowOff>
    </xdr:from>
    <xdr:to>
      <xdr:col>24</xdr:col>
      <xdr:colOff>485564</xdr:colOff>
      <xdr:row>27</xdr:row>
      <xdr:rowOff>35194</xdr:rowOff>
    </xdr:to>
    <xdr:graphicFrame macro="">
      <xdr:nvGraphicFramePr>
        <xdr:cNvPr id="6" name="Chart 5">
          <a:extLst>
            <a:ext uri="{FF2B5EF4-FFF2-40B4-BE49-F238E27FC236}">
              <a16:creationId xmlns:a16="http://schemas.microsoft.com/office/drawing/2014/main" id="{C8B30382-C783-43E5-9279-0E3D6C0B0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190952</xdr:colOff>
      <xdr:row>27</xdr:row>
      <xdr:rowOff>13415</xdr:rowOff>
    </xdr:from>
    <xdr:to>
      <xdr:col>10</xdr:col>
      <xdr:colOff>181855</xdr:colOff>
      <xdr:row>39</xdr:row>
      <xdr:rowOff>160986</xdr:rowOff>
    </xdr:to>
    <xdr:graphicFrame macro="">
      <xdr:nvGraphicFramePr>
        <xdr:cNvPr id="7" name="Chart 6">
          <a:extLst>
            <a:ext uri="{FF2B5EF4-FFF2-40B4-BE49-F238E27FC236}">
              <a16:creationId xmlns:a16="http://schemas.microsoft.com/office/drawing/2014/main" id="{03EF15AC-D43C-4392-9EF3-8B1154491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344213</xdr:colOff>
      <xdr:row>25</xdr:row>
      <xdr:rowOff>88790</xdr:rowOff>
    </xdr:from>
    <xdr:to>
      <xdr:col>3</xdr:col>
      <xdr:colOff>65690</xdr:colOff>
      <xdr:row>35</xdr:row>
      <xdr:rowOff>54740</xdr:rowOff>
    </xdr:to>
    <mc:AlternateContent xmlns:mc="http://schemas.openxmlformats.org/markup-compatibility/2006" xmlns:a14="http://schemas.microsoft.com/office/drawing/2010/main">
      <mc:Choice Requires="a14">
        <xdr:graphicFrame macro="">
          <xdr:nvGraphicFramePr>
            <xdr:cNvPr id="8" name="reason_for_visit 1">
              <a:extLst>
                <a:ext uri="{FF2B5EF4-FFF2-40B4-BE49-F238E27FC236}">
                  <a16:creationId xmlns:a16="http://schemas.microsoft.com/office/drawing/2014/main" id="{65D07351-1A99-42E6-A688-489A671E00C7}"/>
                </a:ext>
              </a:extLst>
            </xdr:cNvPr>
            <xdr:cNvGraphicFramePr/>
          </xdr:nvGraphicFramePr>
          <xdr:xfrm>
            <a:off x="0" y="0"/>
            <a:ext cx="0" cy="0"/>
          </xdr:xfrm>
          <a:graphic>
            <a:graphicData uri="http://schemas.microsoft.com/office/drawing/2010/slicer">
              <sle:slicer xmlns:sle="http://schemas.microsoft.com/office/drawing/2010/slicer" name="reason_for_visit 1"/>
            </a:graphicData>
          </a:graphic>
        </xdr:graphicFrame>
      </mc:Choice>
      <mc:Fallback xmlns="">
        <xdr:sp macro="" textlink="">
          <xdr:nvSpPr>
            <xdr:cNvPr id="0" name=""/>
            <xdr:cNvSpPr>
              <a:spLocks noTextEdit="1"/>
            </xdr:cNvSpPr>
          </xdr:nvSpPr>
          <xdr:spPr>
            <a:xfrm>
              <a:off x="344213" y="5185284"/>
              <a:ext cx="1539886" cy="1821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244615</xdr:colOff>
      <xdr:row>27</xdr:row>
      <xdr:rowOff>38156</xdr:rowOff>
    </xdr:from>
    <xdr:to>
      <xdr:col>17</xdr:col>
      <xdr:colOff>459263</xdr:colOff>
      <xdr:row>40</xdr:row>
      <xdr:rowOff>13589</xdr:rowOff>
    </xdr:to>
    <xdr:graphicFrame macro="">
      <xdr:nvGraphicFramePr>
        <xdr:cNvPr id="9" name="Chart 8">
          <a:extLst>
            <a:ext uri="{FF2B5EF4-FFF2-40B4-BE49-F238E27FC236}">
              <a16:creationId xmlns:a16="http://schemas.microsoft.com/office/drawing/2014/main" id="{8AE9D70F-0373-4814-9AA0-65BCCBBAC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583026</xdr:colOff>
      <xdr:row>27</xdr:row>
      <xdr:rowOff>61834</xdr:rowOff>
    </xdr:from>
    <xdr:to>
      <xdr:col>24</xdr:col>
      <xdr:colOff>515015</xdr:colOff>
      <xdr:row>39</xdr:row>
      <xdr:rowOff>174401</xdr:rowOff>
    </xdr:to>
    <xdr:graphicFrame macro="">
      <xdr:nvGraphicFramePr>
        <xdr:cNvPr id="10" name="Chart 9">
          <a:extLst>
            <a:ext uri="{FF2B5EF4-FFF2-40B4-BE49-F238E27FC236}">
              <a16:creationId xmlns:a16="http://schemas.microsoft.com/office/drawing/2014/main" id="{BA620ACD-FC9D-4EDD-8244-848AC5B19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344212</xdr:colOff>
      <xdr:row>35</xdr:row>
      <xdr:rowOff>99738</xdr:rowOff>
    </xdr:from>
    <xdr:to>
      <xdr:col>3</xdr:col>
      <xdr:colOff>43794</xdr:colOff>
      <xdr:row>40</xdr:row>
      <xdr:rowOff>153277</xdr:rowOff>
    </xdr:to>
    <mc:AlternateContent xmlns:mc="http://schemas.openxmlformats.org/markup-compatibility/2006" xmlns:a14="http://schemas.microsoft.com/office/drawing/2010/main">
      <mc:Choice Requires="a14">
        <xdr:graphicFrame macro="">
          <xdr:nvGraphicFramePr>
            <xdr:cNvPr id="11" name="branch 1">
              <a:extLst>
                <a:ext uri="{FF2B5EF4-FFF2-40B4-BE49-F238E27FC236}">
                  <a16:creationId xmlns:a16="http://schemas.microsoft.com/office/drawing/2014/main" id="{4A52EFDB-3122-4530-8AB6-695F744A901A}"/>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344212" y="7051751"/>
              <a:ext cx="1517991" cy="981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204303</xdr:colOff>
      <xdr:row>40</xdr:row>
      <xdr:rowOff>96456</xdr:rowOff>
    </xdr:from>
    <xdr:to>
      <xdr:col>10</xdr:col>
      <xdr:colOff>120569</xdr:colOff>
      <xdr:row>52</xdr:row>
      <xdr:rowOff>150532</xdr:rowOff>
    </xdr:to>
    <xdr:graphicFrame macro="">
      <xdr:nvGraphicFramePr>
        <xdr:cNvPr id="12" name="Chart 11">
          <a:extLst>
            <a:ext uri="{FF2B5EF4-FFF2-40B4-BE49-F238E27FC236}">
              <a16:creationId xmlns:a16="http://schemas.microsoft.com/office/drawing/2014/main" id="{A5BF2FDD-25DE-4A49-A25E-BBBC1E987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361293</xdr:colOff>
      <xdr:row>41</xdr:row>
      <xdr:rowOff>47624</xdr:rowOff>
    </xdr:from>
    <xdr:to>
      <xdr:col>3</xdr:col>
      <xdr:colOff>21897</xdr:colOff>
      <xdr:row>47</xdr:row>
      <xdr:rowOff>65689</xdr:rowOff>
    </xdr:to>
    <mc:AlternateContent xmlns:mc="http://schemas.openxmlformats.org/markup-compatibility/2006" xmlns:a14="http://schemas.microsoft.com/office/drawing/2010/main">
      <mc:Choice Requires="a14">
        <xdr:graphicFrame macro="">
          <xdr:nvGraphicFramePr>
            <xdr:cNvPr id="13" name="speialization 1">
              <a:extLst>
                <a:ext uri="{FF2B5EF4-FFF2-40B4-BE49-F238E27FC236}">
                  <a16:creationId xmlns:a16="http://schemas.microsoft.com/office/drawing/2014/main" id="{8626DB41-35A4-4A57-B23D-644F3780BC89}"/>
                </a:ext>
              </a:extLst>
            </xdr:cNvPr>
            <xdr:cNvGraphicFramePr/>
          </xdr:nvGraphicFramePr>
          <xdr:xfrm>
            <a:off x="0" y="0"/>
            <a:ext cx="0" cy="0"/>
          </xdr:xfrm>
          <a:graphic>
            <a:graphicData uri="http://schemas.microsoft.com/office/drawing/2010/slicer">
              <sle:slicer xmlns:sle="http://schemas.microsoft.com/office/drawing/2010/slicer" name="speialization 1"/>
            </a:graphicData>
          </a:graphic>
        </xdr:graphicFrame>
      </mc:Choice>
      <mc:Fallback xmlns="">
        <xdr:sp macro="" textlink="">
          <xdr:nvSpPr>
            <xdr:cNvPr id="0" name=""/>
            <xdr:cNvSpPr>
              <a:spLocks noTextEdit="1"/>
            </xdr:cNvSpPr>
          </xdr:nvSpPr>
          <xdr:spPr>
            <a:xfrm>
              <a:off x="361293" y="8112949"/>
              <a:ext cx="1479013" cy="1131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576867</xdr:colOff>
      <xdr:row>7</xdr:row>
      <xdr:rowOff>80184</xdr:rowOff>
    </xdr:from>
    <xdr:to>
      <xdr:col>11</xdr:col>
      <xdr:colOff>80492</xdr:colOff>
      <xdr:row>13</xdr:row>
      <xdr:rowOff>107324</xdr:rowOff>
    </xdr:to>
    <xdr:sp macro="" textlink="">
      <xdr:nvSpPr>
        <xdr:cNvPr id="15" name="Rectangle: Rounded Corners 14">
          <a:extLst>
            <a:ext uri="{FF2B5EF4-FFF2-40B4-BE49-F238E27FC236}">
              <a16:creationId xmlns:a16="http://schemas.microsoft.com/office/drawing/2014/main" id="{1A91119B-6786-4EDC-B685-85F13B0CD793}"/>
            </a:ext>
          </a:extLst>
        </xdr:cNvPr>
        <xdr:cNvSpPr/>
      </xdr:nvSpPr>
      <xdr:spPr>
        <a:xfrm>
          <a:off x="4199050" y="1851029"/>
          <a:ext cx="2522111" cy="1154041"/>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Arial Black" panose="020B0A04020102020204" pitchFamily="34" charset="0"/>
            </a:rPr>
            <a:t>TOTAL</a:t>
          </a:r>
          <a:r>
            <a:rPr lang="en-US" sz="1200" b="1" baseline="0">
              <a:latin typeface="Arial Black" panose="020B0A04020102020204" pitchFamily="34" charset="0"/>
            </a:rPr>
            <a:t> APPOINTMENTS</a:t>
          </a:r>
          <a:endParaRPr lang="en-US" sz="1200" b="1">
            <a:latin typeface="Arial Black" panose="020B0A04020102020204" pitchFamily="34" charset="0"/>
          </a:endParaRPr>
        </a:p>
      </xdr:txBody>
    </xdr:sp>
    <xdr:clientData/>
  </xdr:twoCellAnchor>
  <xdr:twoCellAnchor>
    <xdr:from>
      <xdr:col>8</xdr:col>
      <xdr:colOff>12212</xdr:colOff>
      <xdr:row>10</xdr:row>
      <xdr:rowOff>6564</xdr:rowOff>
    </xdr:from>
    <xdr:to>
      <xdr:col>9</xdr:col>
      <xdr:colOff>341922</xdr:colOff>
      <xdr:row>11</xdr:row>
      <xdr:rowOff>122115</xdr:rowOff>
    </xdr:to>
    <xdr:sp macro="" textlink="">
      <xdr:nvSpPr>
        <xdr:cNvPr id="16" name="TextBox 15">
          <a:extLst>
            <a:ext uri="{FF2B5EF4-FFF2-40B4-BE49-F238E27FC236}">
              <a16:creationId xmlns:a16="http://schemas.microsoft.com/office/drawing/2014/main" id="{28CE70F3-EC72-4FE9-B0C3-6018308D19C3}"/>
            </a:ext>
          </a:extLst>
        </xdr:cNvPr>
        <xdr:cNvSpPr txBox="1"/>
      </xdr:nvSpPr>
      <xdr:spPr>
        <a:xfrm>
          <a:off x="4896827" y="2412237"/>
          <a:ext cx="940287" cy="310936"/>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200</a:t>
          </a:r>
        </a:p>
      </xdr:txBody>
    </xdr:sp>
    <xdr:clientData/>
  </xdr:twoCellAnchor>
  <xdr:twoCellAnchor>
    <xdr:from>
      <xdr:col>12</xdr:col>
      <xdr:colOff>1</xdr:colOff>
      <xdr:row>7</xdr:row>
      <xdr:rowOff>126729</xdr:rowOff>
    </xdr:from>
    <xdr:to>
      <xdr:col>16</xdr:col>
      <xdr:colOff>526750</xdr:colOff>
      <xdr:row>13</xdr:row>
      <xdr:rowOff>107324</xdr:rowOff>
    </xdr:to>
    <xdr:sp macro="" textlink="">
      <xdr:nvSpPr>
        <xdr:cNvPr id="17" name="Rectangle: Rounded Corners 16">
          <a:extLst>
            <a:ext uri="{FF2B5EF4-FFF2-40B4-BE49-F238E27FC236}">
              <a16:creationId xmlns:a16="http://schemas.microsoft.com/office/drawing/2014/main" id="{E2517AD1-C8C1-46FB-A7A8-3F5EF38238A6}"/>
            </a:ext>
          </a:extLst>
        </xdr:cNvPr>
        <xdr:cNvSpPr/>
      </xdr:nvSpPr>
      <xdr:spPr>
        <a:xfrm>
          <a:off x="7244367" y="1897574"/>
          <a:ext cx="2941538" cy="1107496"/>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Arial Black" panose="020B0A04020102020204" pitchFamily="34" charset="0"/>
            </a:rPr>
            <a:t>TOTAL</a:t>
          </a:r>
          <a:r>
            <a:rPr lang="en-US" sz="1200" b="1" baseline="0">
              <a:latin typeface="Arial Black" panose="020B0A04020102020204" pitchFamily="34" charset="0"/>
            </a:rPr>
            <a:t> PATIENTS</a:t>
          </a:r>
          <a:endParaRPr lang="en-US" sz="1200" b="1">
            <a:latin typeface="Arial Black" panose="020B0A04020102020204" pitchFamily="34" charset="0"/>
          </a:endParaRPr>
        </a:p>
      </xdr:txBody>
    </xdr:sp>
    <xdr:clientData/>
  </xdr:twoCellAnchor>
  <xdr:twoCellAnchor>
    <xdr:from>
      <xdr:col>13</xdr:col>
      <xdr:colOff>370392</xdr:colOff>
      <xdr:row>10</xdr:row>
      <xdr:rowOff>43676</xdr:rowOff>
    </xdr:from>
    <xdr:to>
      <xdr:col>15</xdr:col>
      <xdr:colOff>117039</xdr:colOff>
      <xdr:row>11</xdr:row>
      <xdr:rowOff>87469</xdr:rowOff>
    </xdr:to>
    <xdr:sp macro="" textlink="'KPI cards'!B2">
      <xdr:nvSpPr>
        <xdr:cNvPr id="18" name="TextBox 17">
          <a:extLst>
            <a:ext uri="{FF2B5EF4-FFF2-40B4-BE49-F238E27FC236}">
              <a16:creationId xmlns:a16="http://schemas.microsoft.com/office/drawing/2014/main" id="{8D0CC34C-3E12-48AC-8036-C1E90083926C}"/>
            </a:ext>
          </a:extLst>
        </xdr:cNvPr>
        <xdr:cNvSpPr txBox="1"/>
      </xdr:nvSpPr>
      <xdr:spPr>
        <a:xfrm>
          <a:off x="8250165" y="2356890"/>
          <a:ext cx="958919" cy="22934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14C38C-D36F-43FA-9C99-91C0A85BF5D2}" type="TxLink">
            <a:rPr lang="en-US" sz="1600" b="1" i="0" u="none" strike="noStrike">
              <a:solidFill>
                <a:schemeClr val="bg1"/>
              </a:solidFill>
              <a:latin typeface="Calibri"/>
              <a:ea typeface="Calibri"/>
              <a:cs typeface="Calibri"/>
            </a:rPr>
            <a:pPr algn="ctr"/>
            <a:t>50</a:t>
          </a:fld>
          <a:endParaRPr lang="en-US" sz="1600" b="1">
            <a:solidFill>
              <a:schemeClr val="bg1"/>
            </a:solidFill>
          </a:endParaRPr>
        </a:p>
      </xdr:txBody>
    </xdr:sp>
    <xdr:clientData/>
  </xdr:twoCellAnchor>
  <xdr:twoCellAnchor>
    <xdr:from>
      <xdr:col>17</xdr:col>
      <xdr:colOff>456588</xdr:colOff>
      <xdr:row>7</xdr:row>
      <xdr:rowOff>102365</xdr:rowOff>
    </xdr:from>
    <xdr:to>
      <xdr:col>22</xdr:col>
      <xdr:colOff>53662</xdr:colOff>
      <xdr:row>13</xdr:row>
      <xdr:rowOff>93909</xdr:rowOff>
    </xdr:to>
    <xdr:sp macro="" textlink="">
      <xdr:nvSpPr>
        <xdr:cNvPr id="19" name="Rectangle: Rounded Corners 18">
          <a:extLst>
            <a:ext uri="{FF2B5EF4-FFF2-40B4-BE49-F238E27FC236}">
              <a16:creationId xmlns:a16="http://schemas.microsoft.com/office/drawing/2014/main" id="{E59431DE-BC0A-4ED7-8AE1-50BDF73782D7}"/>
            </a:ext>
          </a:extLst>
        </xdr:cNvPr>
        <xdr:cNvSpPr/>
      </xdr:nvSpPr>
      <xdr:spPr>
        <a:xfrm>
          <a:off x="10719440" y="1873210"/>
          <a:ext cx="2615560" cy="1118445"/>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bg1"/>
              </a:solidFill>
              <a:latin typeface="Arial Black" panose="020B0A04020102020204" pitchFamily="34" charset="0"/>
            </a:rPr>
            <a:t>TOTAL</a:t>
          </a:r>
          <a:r>
            <a:rPr lang="en-US" sz="1200" b="1" baseline="0">
              <a:solidFill>
                <a:schemeClr val="bg1"/>
              </a:solidFill>
              <a:latin typeface="Arial Black" panose="020B0A04020102020204" pitchFamily="34" charset="0"/>
            </a:rPr>
            <a:t> DOCTORS</a:t>
          </a:r>
          <a:endParaRPr lang="en-US" sz="1200" b="1">
            <a:solidFill>
              <a:schemeClr val="bg1"/>
            </a:solidFill>
            <a:latin typeface="Arial Black" panose="020B0A04020102020204" pitchFamily="34" charset="0"/>
          </a:endParaRPr>
        </a:p>
      </xdr:txBody>
    </xdr:sp>
    <xdr:clientData/>
  </xdr:twoCellAnchor>
  <xdr:twoCellAnchor>
    <xdr:from>
      <xdr:col>19</xdr:col>
      <xdr:colOff>97919</xdr:colOff>
      <xdr:row>9</xdr:row>
      <xdr:rowOff>156840</xdr:rowOff>
    </xdr:from>
    <xdr:to>
      <xdr:col>20</xdr:col>
      <xdr:colOff>598366</xdr:colOff>
      <xdr:row>11</xdr:row>
      <xdr:rowOff>73270</xdr:rowOff>
    </xdr:to>
    <xdr:sp macro="" textlink="'KPI cards'!B3">
      <xdr:nvSpPr>
        <xdr:cNvPr id="20" name="TextBox 19">
          <a:extLst>
            <a:ext uri="{FF2B5EF4-FFF2-40B4-BE49-F238E27FC236}">
              <a16:creationId xmlns:a16="http://schemas.microsoft.com/office/drawing/2014/main" id="{D2ED0084-5DD2-440A-9A8A-2C29286EF9E3}"/>
            </a:ext>
          </a:extLst>
        </xdr:cNvPr>
        <xdr:cNvSpPr txBox="1"/>
      </xdr:nvSpPr>
      <xdr:spPr>
        <a:xfrm>
          <a:off x="11698881" y="2367128"/>
          <a:ext cx="1111023" cy="30720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CD03899-51B1-4E97-80CC-17CED5508663}" type="TxLink">
            <a:rPr lang="en-US" sz="1600" b="1" i="0" u="none" strike="noStrike">
              <a:solidFill>
                <a:schemeClr val="bg1"/>
              </a:solidFill>
              <a:latin typeface="Calibri"/>
              <a:ea typeface="Calibri"/>
              <a:cs typeface="Calibri"/>
            </a:rPr>
            <a:pPr algn="ctr"/>
            <a:t>10</a:t>
          </a:fld>
          <a:endParaRPr lang="en-US" sz="1600" b="1">
            <a:solidFill>
              <a:schemeClr val="bg1"/>
            </a:solidFill>
          </a:endParaRPr>
        </a:p>
      </xdr:txBody>
    </xdr:sp>
    <xdr:clientData/>
  </xdr:twoCellAnchor>
  <xdr:twoCellAnchor editAs="oneCell">
    <xdr:from>
      <xdr:col>4</xdr:col>
      <xdr:colOff>296883</xdr:colOff>
      <xdr:row>0</xdr:row>
      <xdr:rowOff>24740</xdr:rowOff>
    </xdr:from>
    <xdr:to>
      <xdr:col>5</xdr:col>
      <xdr:colOff>605146</xdr:colOff>
      <xdr:row>2</xdr:row>
      <xdr:rowOff>110341</xdr:rowOff>
    </xdr:to>
    <xdr:pic>
      <xdr:nvPicPr>
        <xdr:cNvPr id="30" name="Graphic 29" descr="Hospital">
          <a:extLst>
            <a:ext uri="{FF2B5EF4-FFF2-40B4-BE49-F238E27FC236}">
              <a16:creationId xmlns:a16="http://schemas.microsoft.com/office/drawing/2014/main" id="{DEF91A44-5EFA-430C-B587-BED52A0C7E0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721428" y="24740"/>
          <a:ext cx="914400" cy="914400"/>
        </a:xfrm>
        <a:prstGeom prst="rect">
          <a:avLst/>
        </a:prstGeom>
      </xdr:spPr>
    </xdr:pic>
    <xdr:clientData/>
  </xdr:twoCellAnchor>
  <xdr:twoCellAnchor editAs="oneCell">
    <xdr:from>
      <xdr:col>12</xdr:col>
      <xdr:colOff>86590</xdr:colOff>
      <xdr:row>8</xdr:row>
      <xdr:rowOff>24740</xdr:rowOff>
    </xdr:from>
    <xdr:to>
      <xdr:col>13</xdr:col>
      <xdr:colOff>136070</xdr:colOff>
      <xdr:row>11</xdr:row>
      <xdr:rowOff>123701</xdr:rowOff>
    </xdr:to>
    <xdr:pic>
      <xdr:nvPicPr>
        <xdr:cNvPr id="32" name="Graphic 31" descr="Users">
          <a:extLst>
            <a:ext uri="{FF2B5EF4-FFF2-40B4-BE49-F238E27FC236}">
              <a16:creationId xmlns:a16="http://schemas.microsoft.com/office/drawing/2014/main" id="{BDD170D3-865D-4B5D-AF0C-37AC26E9F19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7360226" y="1966850"/>
          <a:ext cx="655617" cy="655617"/>
        </a:xfrm>
        <a:prstGeom prst="rect">
          <a:avLst/>
        </a:prstGeom>
      </xdr:spPr>
    </xdr:pic>
    <xdr:clientData/>
  </xdr:twoCellAnchor>
  <xdr:twoCellAnchor editAs="oneCell">
    <xdr:from>
      <xdr:col>17</xdr:col>
      <xdr:colOff>519546</xdr:colOff>
      <xdr:row>8</xdr:row>
      <xdr:rowOff>24742</xdr:rowOff>
    </xdr:from>
    <xdr:to>
      <xdr:col>18</xdr:col>
      <xdr:colOff>531915</xdr:colOff>
      <xdr:row>11</xdr:row>
      <xdr:rowOff>86592</xdr:rowOff>
    </xdr:to>
    <xdr:pic>
      <xdr:nvPicPr>
        <xdr:cNvPr id="34" name="Graphic 33" descr="Doctor">
          <a:extLst>
            <a:ext uri="{FF2B5EF4-FFF2-40B4-BE49-F238E27FC236}">
              <a16:creationId xmlns:a16="http://schemas.microsoft.com/office/drawing/2014/main" id="{D78F0B0D-7F55-4D8B-A1F1-07686D5C2882}"/>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0823864" y="1966852"/>
          <a:ext cx="618506" cy="618506"/>
        </a:xfrm>
        <a:prstGeom prst="rect">
          <a:avLst/>
        </a:prstGeom>
      </xdr:spPr>
    </xdr:pic>
    <xdr:clientData/>
  </xdr:twoCellAnchor>
  <xdr:twoCellAnchor editAs="oneCell">
    <xdr:from>
      <xdr:col>7</xdr:col>
      <xdr:colOff>30364</xdr:colOff>
      <xdr:row>9</xdr:row>
      <xdr:rowOff>24740</xdr:rowOff>
    </xdr:from>
    <xdr:to>
      <xdr:col>7</xdr:col>
      <xdr:colOff>540070</xdr:colOff>
      <xdr:row>11</xdr:row>
      <xdr:rowOff>111331</xdr:rowOff>
    </xdr:to>
    <xdr:pic>
      <xdr:nvPicPr>
        <xdr:cNvPr id="36" name="Graphic 35" descr="User">
          <a:extLst>
            <a:ext uri="{FF2B5EF4-FFF2-40B4-BE49-F238E27FC236}">
              <a16:creationId xmlns:a16="http://schemas.microsoft.com/office/drawing/2014/main" id="{BFA97D81-9C0A-4C63-ADE1-ADD09E40301B}"/>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4273319" y="2152402"/>
          <a:ext cx="509706" cy="457695"/>
        </a:xfrm>
        <a:prstGeom prst="rect">
          <a:avLst/>
        </a:prstGeom>
      </xdr:spPr>
    </xdr:pic>
    <xdr:clientData/>
  </xdr:twoCellAnchor>
  <xdr:twoCellAnchor editAs="oneCell">
    <xdr:from>
      <xdr:col>21</xdr:col>
      <xdr:colOff>272143</xdr:colOff>
      <xdr:row>0</xdr:row>
      <xdr:rowOff>49482</xdr:rowOff>
    </xdr:from>
    <xdr:to>
      <xdr:col>22</xdr:col>
      <xdr:colOff>185552</xdr:colOff>
      <xdr:row>1</xdr:row>
      <xdr:rowOff>358736</xdr:rowOff>
    </xdr:to>
    <xdr:pic>
      <xdr:nvPicPr>
        <xdr:cNvPr id="38" name="Graphic 37" descr="Daily calendar">
          <a:extLst>
            <a:ext uri="{FF2B5EF4-FFF2-40B4-BE49-F238E27FC236}">
              <a16:creationId xmlns:a16="http://schemas.microsoft.com/office/drawing/2014/main" id="{37BB7090-5EB2-4706-AE76-A0AC6CE38349}"/>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3001007" y="49482"/>
          <a:ext cx="519545" cy="494806"/>
        </a:xfrm>
        <a:prstGeom prst="rect">
          <a:avLst/>
        </a:prstGeom>
      </xdr:spPr>
    </xdr:pic>
    <xdr:clientData/>
  </xdr:twoCellAnchor>
  <xdr:twoCellAnchor editAs="oneCell">
    <xdr:from>
      <xdr:col>25</xdr:col>
      <xdr:colOff>128221</xdr:colOff>
      <xdr:row>15</xdr:row>
      <xdr:rowOff>86313</xdr:rowOff>
    </xdr:from>
    <xdr:to>
      <xdr:col>26</xdr:col>
      <xdr:colOff>540727</xdr:colOff>
      <xdr:row>35</xdr:row>
      <xdr:rowOff>13921</xdr:rowOff>
    </xdr:to>
    <xdr:pic>
      <xdr:nvPicPr>
        <xdr:cNvPr id="27" name="Picture 26">
          <a:extLst>
            <a:ext uri="{FF2B5EF4-FFF2-40B4-BE49-F238E27FC236}">
              <a16:creationId xmlns:a16="http://schemas.microsoft.com/office/drawing/2014/main" id="{AECBFFAF-399E-484F-8CEB-A41DEFEAAF05}"/>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5468966" y="3429222"/>
          <a:ext cx="1026136" cy="3774242"/>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307797</xdr:colOff>
      <xdr:row>47</xdr:row>
      <xdr:rowOff>186816</xdr:rowOff>
    </xdr:from>
    <xdr:to>
      <xdr:col>3</xdr:col>
      <xdr:colOff>36171</xdr:colOff>
      <xdr:row>57</xdr:row>
      <xdr:rowOff>84399</xdr:rowOff>
    </xdr:to>
    <mc:AlternateContent xmlns:mc="http://schemas.openxmlformats.org/markup-compatibility/2006" xmlns:a14="http://schemas.microsoft.com/office/drawing/2010/main">
      <mc:Choice Requires="a14">
        <xdr:graphicFrame macro="">
          <xdr:nvGraphicFramePr>
            <xdr:cNvPr id="28" name="name 1">
              <a:extLst>
                <a:ext uri="{FF2B5EF4-FFF2-40B4-BE49-F238E27FC236}">
                  <a16:creationId xmlns:a16="http://schemas.microsoft.com/office/drawing/2014/main" id="{9667AAFC-6BD3-4DA5-A11C-36B18B178665}"/>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307797" y="9422331"/>
              <a:ext cx="1549330" cy="1765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71437</xdr:colOff>
      <xdr:row>2</xdr:row>
      <xdr:rowOff>47624</xdr:rowOff>
    </xdr:from>
    <xdr:to>
      <xdr:col>10</xdr:col>
      <xdr:colOff>171450</xdr:colOff>
      <xdr:row>13</xdr:row>
      <xdr:rowOff>95249</xdr:rowOff>
    </xdr:to>
    <xdr:graphicFrame macro="">
      <xdr:nvGraphicFramePr>
        <xdr:cNvPr id="2" name="Chart 1">
          <a:extLst>
            <a:ext uri="{FF2B5EF4-FFF2-40B4-BE49-F238E27FC236}">
              <a16:creationId xmlns:a16="http://schemas.microsoft.com/office/drawing/2014/main" id="{51427B7F-4F82-4237-ABDF-4A2A7330B8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123825</xdr:colOff>
      <xdr:row>3</xdr:row>
      <xdr:rowOff>57150</xdr:rowOff>
    </xdr:from>
    <xdr:to>
      <xdr:col>13</xdr:col>
      <xdr:colOff>485775</xdr:colOff>
      <xdr:row>14</xdr:row>
      <xdr:rowOff>104775</xdr:rowOff>
    </xdr:to>
    <mc:AlternateContent xmlns:mc="http://schemas.openxmlformats.org/markup-compatibility/2006" xmlns:a14="http://schemas.microsoft.com/office/drawing/2010/main">
      <mc:Choice Requires="a14">
        <xdr:graphicFrame macro="">
          <xdr:nvGraphicFramePr>
            <xdr:cNvPr id="3" name="Months">
              <a:extLst>
                <a:ext uri="{FF2B5EF4-FFF2-40B4-BE49-F238E27FC236}">
                  <a16:creationId xmlns:a16="http://schemas.microsoft.com/office/drawing/2014/main" id="{32DB07D9-1ADB-4E64-B866-A0D4F6A1E150}"/>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8067675" y="628650"/>
              <a:ext cx="1581150" cy="2143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4762</xdr:colOff>
      <xdr:row>2</xdr:row>
      <xdr:rowOff>57150</xdr:rowOff>
    </xdr:from>
    <xdr:to>
      <xdr:col>9</xdr:col>
      <xdr:colOff>504825</xdr:colOff>
      <xdr:row>13</xdr:row>
      <xdr:rowOff>47625</xdr:rowOff>
    </xdr:to>
    <xdr:graphicFrame macro="">
      <xdr:nvGraphicFramePr>
        <xdr:cNvPr id="2" name="Chart 1">
          <a:extLst>
            <a:ext uri="{FF2B5EF4-FFF2-40B4-BE49-F238E27FC236}">
              <a16:creationId xmlns:a16="http://schemas.microsoft.com/office/drawing/2014/main" id="{AE2159A9-F27D-43F1-80B4-7A82F6B81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357187</xdr:colOff>
      <xdr:row>4</xdr:row>
      <xdr:rowOff>95250</xdr:rowOff>
    </xdr:from>
    <xdr:to>
      <xdr:col>9</xdr:col>
      <xdr:colOff>238125</xdr:colOff>
      <xdr:row>15</xdr:row>
      <xdr:rowOff>142875</xdr:rowOff>
    </xdr:to>
    <xdr:graphicFrame macro="">
      <xdr:nvGraphicFramePr>
        <xdr:cNvPr id="2" name="Chart 1">
          <a:extLst>
            <a:ext uri="{FF2B5EF4-FFF2-40B4-BE49-F238E27FC236}">
              <a16:creationId xmlns:a16="http://schemas.microsoft.com/office/drawing/2014/main" id="{FFA00C4B-9546-48C6-95CC-052593B5B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290512</xdr:colOff>
      <xdr:row>6</xdr:row>
      <xdr:rowOff>57150</xdr:rowOff>
    </xdr:from>
    <xdr:to>
      <xdr:col>9</xdr:col>
      <xdr:colOff>85725</xdr:colOff>
      <xdr:row>18</xdr:row>
      <xdr:rowOff>19050</xdr:rowOff>
    </xdr:to>
    <xdr:graphicFrame macro="">
      <xdr:nvGraphicFramePr>
        <xdr:cNvPr id="2" name="Chart 1">
          <a:extLst>
            <a:ext uri="{FF2B5EF4-FFF2-40B4-BE49-F238E27FC236}">
              <a16:creationId xmlns:a16="http://schemas.microsoft.com/office/drawing/2014/main" id="{A33AA8FF-DF0D-4A09-930B-4D9B38DB9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123824</xdr:colOff>
      <xdr:row>0</xdr:row>
      <xdr:rowOff>133351</xdr:rowOff>
    </xdr:from>
    <xdr:to>
      <xdr:col>13</xdr:col>
      <xdr:colOff>133349</xdr:colOff>
      <xdr:row>10</xdr:row>
      <xdr:rowOff>19051</xdr:rowOff>
    </xdr:to>
    <mc:AlternateContent xmlns:mc="http://schemas.openxmlformats.org/markup-compatibility/2006" xmlns:a14="http://schemas.microsoft.com/office/drawing/2010/main">
      <mc:Choice Requires="a14">
        <xdr:graphicFrame macro="">
          <xdr:nvGraphicFramePr>
            <xdr:cNvPr id="3" name="reason_for_visit">
              <a:extLst>
                <a:ext uri="{FF2B5EF4-FFF2-40B4-BE49-F238E27FC236}">
                  <a16:creationId xmlns:a16="http://schemas.microsoft.com/office/drawing/2014/main" id="{A0FCBC63-7432-4CF6-A82A-1D8503C63778}"/>
                </a:ext>
              </a:extLst>
            </xdr:cNvPr>
            <xdr:cNvGraphicFramePr/>
          </xdr:nvGraphicFramePr>
          <xdr:xfrm>
            <a:off x="0" y="0"/>
            <a:ext cx="0" cy="0"/>
          </xdr:xfrm>
          <a:graphic>
            <a:graphicData uri="http://schemas.microsoft.com/office/drawing/2010/slicer">
              <sle:slicer xmlns:sle="http://schemas.microsoft.com/office/drawing/2010/slicer" name="reason_for_visit"/>
            </a:graphicData>
          </a:graphic>
        </xdr:graphicFrame>
      </mc:Choice>
      <mc:Fallback xmlns="">
        <xdr:sp macro="" textlink="">
          <xdr:nvSpPr>
            <xdr:cNvPr id="0" name=""/>
            <xdr:cNvSpPr>
              <a:spLocks noTextEdit="1"/>
            </xdr:cNvSpPr>
          </xdr:nvSpPr>
          <xdr:spPr>
            <a:xfrm>
              <a:off x="7458074" y="133351"/>
              <a:ext cx="1838325" cy="1790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290512</xdr:colOff>
      <xdr:row>2</xdr:row>
      <xdr:rowOff>66675</xdr:rowOff>
    </xdr:from>
    <xdr:to>
      <xdr:col>8</xdr:col>
      <xdr:colOff>257175</xdr:colOff>
      <xdr:row>11</xdr:row>
      <xdr:rowOff>180975</xdr:rowOff>
    </xdr:to>
    <xdr:graphicFrame macro="">
      <xdr:nvGraphicFramePr>
        <xdr:cNvPr id="2" name="Chart 1">
          <a:extLst>
            <a:ext uri="{FF2B5EF4-FFF2-40B4-BE49-F238E27FC236}">
              <a16:creationId xmlns:a16="http://schemas.microsoft.com/office/drawing/2014/main" id="{4C62D843-8F5B-45E9-B20E-8C24F207F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28574</xdr:colOff>
      <xdr:row>4</xdr:row>
      <xdr:rowOff>47625</xdr:rowOff>
    </xdr:from>
    <xdr:to>
      <xdr:col>12</xdr:col>
      <xdr:colOff>76199</xdr:colOff>
      <xdr:row>10</xdr:row>
      <xdr:rowOff>95250</xdr:rowOff>
    </xdr:to>
    <mc:AlternateContent xmlns:mc="http://schemas.openxmlformats.org/markup-compatibility/2006" xmlns:a14="http://schemas.microsoft.com/office/drawing/2010/main">
      <mc:Choice Requires="a14">
        <xdr:graphicFrame macro="">
          <xdr:nvGraphicFramePr>
            <xdr:cNvPr id="3" name="speialization">
              <a:extLst>
                <a:ext uri="{FF2B5EF4-FFF2-40B4-BE49-F238E27FC236}">
                  <a16:creationId xmlns:a16="http://schemas.microsoft.com/office/drawing/2014/main" id="{37E9F70E-2BF2-45EA-9176-7B22EB1C9B6C}"/>
                </a:ext>
              </a:extLst>
            </xdr:cNvPr>
            <xdr:cNvGraphicFramePr/>
          </xdr:nvGraphicFramePr>
          <xdr:xfrm>
            <a:off x="0" y="0"/>
            <a:ext cx="0" cy="0"/>
          </xdr:xfrm>
          <a:graphic>
            <a:graphicData uri="http://schemas.microsoft.com/office/drawing/2010/slicer">
              <sle:slicer xmlns:sle="http://schemas.microsoft.com/office/drawing/2010/slicer" name="speialization"/>
            </a:graphicData>
          </a:graphic>
        </xdr:graphicFrame>
      </mc:Choice>
      <mc:Fallback xmlns="">
        <xdr:sp macro="" textlink="">
          <xdr:nvSpPr>
            <xdr:cNvPr id="0" name=""/>
            <xdr:cNvSpPr>
              <a:spLocks noTextEdit="1"/>
            </xdr:cNvSpPr>
          </xdr:nvSpPr>
          <xdr:spPr>
            <a:xfrm>
              <a:off x="6753224" y="809625"/>
              <a:ext cx="1876425" cy="1190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533400</xdr:colOff>
      <xdr:row>0</xdr:row>
      <xdr:rowOff>152400</xdr:rowOff>
    </xdr:from>
    <xdr:to>
      <xdr:col>6</xdr:col>
      <xdr:colOff>47625</xdr:colOff>
      <xdr:row>6</xdr:row>
      <xdr:rowOff>28575</xdr:rowOff>
    </xdr:to>
    <mc:AlternateContent xmlns:mc="http://schemas.openxmlformats.org/markup-compatibility/2006" xmlns:a14="http://schemas.microsoft.com/office/drawing/2010/main">
      <mc:Choice Requires="a14">
        <xdr:graphicFrame macro="">
          <xdr:nvGraphicFramePr>
            <xdr:cNvPr id="2" name="branch">
              <a:extLst>
                <a:ext uri="{FF2B5EF4-FFF2-40B4-BE49-F238E27FC236}">
                  <a16:creationId xmlns:a16="http://schemas.microsoft.com/office/drawing/2014/main" id="{AF7EEC80-E53D-4C93-B5A1-DAF1AF15E56D}"/>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3543300" y="152400"/>
              <a:ext cx="1828800"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309562</xdr:colOff>
      <xdr:row>2</xdr:row>
      <xdr:rowOff>142875</xdr:rowOff>
    </xdr:from>
    <xdr:to>
      <xdr:col>10</xdr:col>
      <xdr:colOff>647700</xdr:colOff>
      <xdr:row>14</xdr:row>
      <xdr:rowOff>66675</xdr:rowOff>
    </xdr:to>
    <xdr:graphicFrame macro="">
      <xdr:nvGraphicFramePr>
        <xdr:cNvPr id="3" name="Chart 2">
          <a:extLst>
            <a:ext uri="{FF2B5EF4-FFF2-40B4-BE49-F238E27FC236}">
              <a16:creationId xmlns:a16="http://schemas.microsoft.com/office/drawing/2014/main" id="{6B430BD2-416C-436D-8BEA-3B3A24F7C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547687</xdr:colOff>
      <xdr:row>2</xdr:row>
      <xdr:rowOff>152401</xdr:rowOff>
    </xdr:from>
    <xdr:to>
      <xdr:col>8</xdr:col>
      <xdr:colOff>514350</xdr:colOff>
      <xdr:row>15</xdr:row>
      <xdr:rowOff>0</xdr:rowOff>
    </xdr:to>
    <xdr:graphicFrame macro="">
      <xdr:nvGraphicFramePr>
        <xdr:cNvPr id="2" name="Chart 1">
          <a:extLst>
            <a:ext uri="{FF2B5EF4-FFF2-40B4-BE49-F238E27FC236}">
              <a16:creationId xmlns:a16="http://schemas.microsoft.com/office/drawing/2014/main" id="{BBC8A90F-4DCC-4B15-A135-4A4D930F2D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561975</xdr:colOff>
      <xdr:row>7</xdr:row>
      <xdr:rowOff>19051</xdr:rowOff>
    </xdr:from>
    <xdr:to>
      <xdr:col>7</xdr:col>
      <xdr:colOff>371475</xdr:colOff>
      <xdr:row>18</xdr:row>
      <xdr:rowOff>114301</xdr:rowOff>
    </xdr:to>
    <mc:AlternateContent xmlns:mc="http://schemas.openxmlformats.org/markup-compatibility/2006" xmlns:a14="http://schemas.microsoft.com/office/drawing/2010/main">
      <mc:Choice Requires="a14">
        <xdr:graphicFrame macro="">
          <xdr:nvGraphicFramePr>
            <xdr:cNvPr id="3" name="name">
              <a:extLst>
                <a:ext uri="{FF2B5EF4-FFF2-40B4-BE49-F238E27FC236}">
                  <a16:creationId xmlns:a16="http://schemas.microsoft.com/office/drawing/2014/main" id="{DC445DA1-9A78-45C8-8BF8-A0C6065337D4}"/>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4238625" y="1352551"/>
              <a:ext cx="1638300" cy="219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76.944360185182" createdVersion="6" refreshedVersion="6" minRefreshableVersion="3" recordCount="200" xr:uid="{68072574-DBD2-4CF7-AC78-710F9BDADCEC}">
  <cacheSource type="worksheet">
    <worksheetSource ref="A1:Q201" sheet="cleaned data"/>
  </cacheSource>
  <cacheFields count="20">
    <cacheField name="appointment_id" numFmtId="0">
      <sharedItems/>
    </cacheField>
    <cacheField name="appointment_date" numFmtId="14">
      <sharedItems containsSemiMixedTypes="0" containsNonDate="0" containsDate="1" containsString="0" minDate="2023-01-01T00:00:00" maxDate="2023-12-31T00:00:00" count="158">
        <d v="2023-06-30T00:00:00"/>
        <d v="2023-06-21T00:00:00"/>
        <d v="2023-08-16T00:00:00"/>
        <d v="2023-07-12T00:00:00"/>
        <d v="2023-12-16T00:00:00"/>
        <d v="2023-05-09T00:00:00"/>
        <d v="2023-09-17T00:00:00"/>
        <d v="2023-01-20T00:00:00"/>
        <d v="2023-07-11T00:00:00"/>
        <d v="2023-03-16T00:00:00"/>
        <d v="2023-11-22T00:00:00"/>
        <d v="2023-07-28T00:00:00"/>
        <d v="2023-07-24T00:00:00"/>
        <d v="2023-01-07T00:00:00"/>
        <d v="2023-04-12T00:00:00"/>
        <d v="2023-02-26T00:00:00"/>
        <d v="2023-02-06T00:00:00"/>
        <d v="2023-11-14T00:00:00"/>
        <d v="2023-02-25T00:00:00"/>
        <d v="2023-01-01T00:00:00"/>
        <d v="2023-03-21T00:00:00"/>
        <d v="2023-04-24T00:00:00"/>
        <d v="2023-08-10T00:00:00"/>
        <d v="2023-11-07T00:00:00"/>
        <d v="2023-02-18T00:00:00"/>
        <d v="2023-10-19T00:00:00"/>
        <d v="2023-01-30T00:00:00"/>
        <d v="2023-04-09T00:00:00"/>
        <d v="2023-05-06T00:00:00"/>
        <d v="2023-09-21T00:00:00"/>
        <d v="2023-08-08T00:00:00"/>
        <d v="2023-06-20T00:00:00"/>
        <d v="2023-12-08T00:00:00"/>
        <d v="2023-04-07T00:00:00"/>
        <d v="2023-03-23T00:00:00"/>
        <d v="2023-10-25T00:00:00"/>
        <d v="2023-01-03T00:00:00"/>
        <d v="2023-12-17T00:00:00"/>
        <d v="2023-04-04T00:00:00"/>
        <d v="2023-11-15T00:00:00"/>
        <d v="2023-05-01T00:00:00"/>
        <d v="2023-07-06T00:00:00"/>
        <d v="2023-01-13T00:00:00"/>
        <d v="2023-05-07T00:00:00"/>
        <d v="2023-12-05T00:00:00"/>
        <d v="2023-04-18T00:00:00"/>
        <d v="2023-01-08T00:00:00"/>
        <d v="2023-12-20T00:00:00"/>
        <d v="2023-08-26T00:00:00"/>
        <d v="2023-12-24T00:00:00"/>
        <d v="2023-07-07T00:00:00"/>
        <d v="2023-08-14T00:00:00"/>
        <d v="2023-11-24T00:00:00"/>
        <d v="2023-08-09T00:00:00"/>
        <d v="2023-05-11T00:00:00"/>
        <d v="2023-11-01T00:00:00"/>
        <d v="2023-04-08T00:00:00"/>
        <d v="2023-10-22T00:00:00"/>
        <d v="2023-03-27T00:00:00"/>
        <d v="2023-02-13T00:00:00"/>
        <d v="2023-11-16T00:00:00"/>
        <d v="2023-05-24T00:00:00"/>
        <d v="2023-03-05T00:00:00"/>
        <d v="2023-05-25T00:00:00"/>
        <d v="2023-06-25T00:00:00"/>
        <d v="2023-04-30T00:00:00"/>
        <d v="2023-10-06T00:00:00"/>
        <d v="2023-04-15T00:00:00"/>
        <d v="2023-03-09T00:00:00"/>
        <d v="2023-12-14T00:00:00"/>
        <d v="2023-02-14T00:00:00"/>
        <d v="2023-05-22T00:00:00"/>
        <d v="2023-01-11T00:00:00"/>
        <d v="2023-11-02T00:00:00"/>
        <d v="2023-11-13T00:00:00"/>
        <d v="2023-06-27T00:00:00"/>
        <d v="2023-01-12T00:00:00"/>
        <d v="2023-10-05T00:00:00"/>
        <d v="2023-08-19T00:00:00"/>
        <d v="2023-09-01T00:00:00"/>
        <d v="2023-06-19T00:00:00"/>
        <d v="2023-03-17T00:00:00"/>
        <d v="2023-10-29T00:00:00"/>
        <d v="2023-09-20T00:00:00"/>
        <d v="2023-09-28T00:00:00"/>
        <d v="2023-02-04T00:00:00"/>
        <d v="2023-05-31T00:00:00"/>
        <d v="2023-01-26T00:00:00"/>
        <d v="2023-06-11T00:00:00"/>
        <d v="2023-03-02T00:00:00"/>
        <d v="2023-08-25T00:00:00"/>
        <d v="2023-02-23T00:00:00"/>
        <d v="2023-10-17T00:00:00"/>
        <d v="2023-01-05T00:00:00"/>
        <d v="2023-03-06T00:00:00"/>
        <d v="2023-03-08T00:00:00"/>
        <d v="2023-10-26T00:00:00"/>
        <d v="2023-05-15T00:00:00"/>
        <d v="2023-04-17T00:00:00"/>
        <d v="2023-06-12T00:00:00"/>
        <d v="2023-11-27T00:00:00"/>
        <d v="2023-12-26T00:00:00"/>
        <d v="2023-02-28T00:00:00"/>
        <d v="2023-07-26T00:00:00"/>
        <d v="2023-06-15T00:00:00"/>
        <d v="2023-11-11T00:00:00"/>
        <d v="2023-12-06T00:00:00"/>
        <d v="2023-01-28T00:00:00"/>
        <d v="2023-10-31T00:00:00"/>
        <d v="2023-04-06T00:00:00"/>
        <d v="2023-11-12T00:00:00"/>
        <d v="2023-08-29T00:00:00"/>
        <d v="2023-11-06T00:00:00"/>
        <d v="2023-09-23T00:00:00"/>
        <d v="2023-03-29T00:00:00"/>
        <d v="2023-05-02T00:00:00"/>
        <d v="2023-01-16T00:00:00"/>
        <d v="2023-02-12T00:00:00"/>
        <d v="2023-01-15T00:00:00"/>
        <d v="2023-06-14T00:00:00"/>
        <d v="2023-05-10T00:00:00"/>
        <d v="2023-03-14T00:00:00"/>
        <d v="2023-07-23T00:00:00"/>
        <d v="2023-05-08T00:00:00"/>
        <d v="2023-06-26T00:00:00"/>
        <d v="2023-01-06T00:00:00"/>
        <d v="2023-06-01T00:00:00"/>
        <d v="2023-07-04T00:00:00"/>
        <d v="2023-01-24T00:00:00"/>
        <d v="2023-04-21T00:00:00"/>
        <d v="2023-07-29T00:00:00"/>
        <d v="2023-07-19T00:00:00"/>
        <d v="2023-09-09T00:00:00"/>
        <d v="2023-05-13T00:00:00"/>
        <d v="2023-10-10T00:00:00"/>
        <d v="2023-02-05T00:00:00"/>
        <d v="2023-07-08T00:00:00"/>
        <d v="2023-05-12T00:00:00"/>
        <d v="2023-06-17T00:00:00"/>
        <d v="2023-03-03T00:00:00"/>
        <d v="2023-06-04T00:00:00"/>
        <d v="2023-04-26T00:00:00"/>
        <d v="2023-01-17T00:00:00"/>
        <d v="2023-08-31T00:00:00"/>
        <d v="2023-09-15T00:00:00"/>
        <d v="2023-04-01T00:00:00"/>
        <d v="2023-12-30T00:00:00"/>
        <d v="2023-06-09T00:00:00"/>
        <d v="2023-06-28T00:00:00"/>
        <d v="2023-06-13T00:00:00"/>
        <d v="2023-03-28T00:00:00"/>
        <d v="2023-01-02T00:00:00"/>
        <d v="2023-06-29T00:00:00"/>
        <d v="2023-12-18T00:00:00"/>
        <d v="2023-04-14T00:00:00"/>
        <d v="2023-09-29T00:00:00"/>
        <d v="2023-09-03T00:00:00"/>
        <d v="2023-02-03T00:00:00"/>
      </sharedItems>
      <fieldGroup par="19" base="1">
        <rangePr groupBy="days" startDate="2023-01-01T00:00:00" endDate="2023-12-3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3"/>
        </groupItems>
      </fieldGroup>
    </cacheField>
    <cacheField name="appointment_time" numFmtId="164">
      <sharedItems containsSemiMixedTypes="0" containsNonDate="0" containsDate="1" containsString="0" minDate="1899-12-30T08:00:00" maxDate="1899-12-30T17:45:00" count="40">
        <d v="1899-12-30T11:00:00"/>
        <d v="1899-12-30T08:00:00"/>
        <d v="1899-12-30T15:00:00"/>
        <d v="1899-12-30T09:30:00"/>
        <d v="1899-12-30T11:45:00"/>
        <d v="1899-12-30T13:15:00"/>
        <d v="1899-12-30T11:15:00"/>
        <d v="1899-12-30T10:45:00"/>
        <d v="1899-12-30T14:30:00"/>
        <d v="1899-12-30T17:15:00"/>
        <d v="1899-12-30T16:45:00"/>
        <d v="1899-12-30T17:45:00"/>
        <d v="1899-12-30T15:30:00"/>
        <d v="1899-12-30T13:00:00"/>
        <d v="1899-12-30T14:00:00"/>
        <d v="1899-12-30T15:45:00"/>
        <d v="1899-12-30T12:30:00"/>
        <d v="1899-12-30T16:15:00"/>
        <d v="1899-12-30T12:15:00"/>
        <d v="1899-12-30T14:15:00"/>
        <d v="1899-12-30T14:45:00"/>
        <d v="1899-12-30T09:00:00"/>
        <d v="1899-12-30T13:45:00"/>
        <d v="1899-12-30T10:00:00"/>
        <d v="1899-12-30T12:45:00"/>
        <d v="1899-12-30T08:15:00"/>
        <d v="1899-12-30T15:15:00"/>
        <d v="1899-12-30T08:45:00"/>
        <d v="1899-12-30T17:00:00"/>
        <d v="1899-12-30T16:00:00"/>
        <d v="1899-12-30T16:30:00"/>
        <d v="1899-12-30T10:30:00"/>
        <d v="1899-12-30T17:30:00"/>
        <d v="1899-12-30T09:45:00"/>
        <d v="1899-12-30T08:30:00"/>
        <d v="1899-12-30T13:30:00"/>
        <d v="1899-12-30T09:15:00"/>
        <d v="1899-12-30T12:00:00"/>
        <d v="1899-12-30T10:15:00"/>
        <d v="1899-12-30T11:30:00"/>
      </sharedItems>
    </cacheField>
    <cacheField name="reason_for_visit" numFmtId="0">
      <sharedItems count="5">
        <s v="Consultation"/>
        <s v="Checkup"/>
        <s v="Therapy"/>
        <s v="Follow-up"/>
        <s v="Emergency"/>
      </sharedItems>
    </cacheField>
    <cacheField name="status" numFmtId="0">
      <sharedItems count="4">
        <s v="Scheduled"/>
        <s v="Completed"/>
        <s v="No-show"/>
        <s v="Cancelled"/>
      </sharedItems>
    </cacheField>
    <cacheField name="patient_id" numFmtId="0">
      <sharedItems count="48">
        <s v="P016"/>
        <s v="P049"/>
        <s v="P045"/>
        <s v="P032"/>
        <s v="P013"/>
        <s v="P002"/>
        <s v="P012"/>
        <s v="P021"/>
        <s v="P014"/>
        <s v="P029"/>
        <s v="P007"/>
        <s v="P042"/>
        <s v="P005"/>
        <s v="P030"/>
        <s v="P036"/>
        <s v="P033"/>
        <s v="P043"/>
        <s v="P050"/>
        <s v="P023"/>
        <s v="P026"/>
        <s v="P034"/>
        <s v="P018"/>
        <s v="P037"/>
        <s v="P048"/>
        <s v="P019"/>
        <s v="P025"/>
        <s v="P039"/>
        <s v="P031"/>
        <s v="P035"/>
        <s v="P017"/>
        <s v="P040"/>
        <s v="P003"/>
        <s v="P004"/>
        <s v="P010"/>
        <s v="P024"/>
        <s v="P047"/>
        <s v="P009"/>
        <s v="P027"/>
        <s v="P028"/>
        <s v="P046"/>
        <s v="P001"/>
        <s v="P038"/>
        <s v="P022"/>
        <s v="P020"/>
        <s v="P044"/>
        <s v="P041"/>
        <s v="P011"/>
        <s v="P008"/>
      </sharedItems>
    </cacheField>
    <cacheField name="Patient name" numFmtId="0">
      <sharedItems/>
    </cacheField>
    <cacheField name="Gender" numFmtId="0">
      <sharedItems count="2">
        <s v="M"/>
        <s v="F"/>
      </sharedItems>
    </cacheField>
    <cacheField name="date of birth" numFmtId="14">
      <sharedItems containsSemiMixedTypes="0" containsNonDate="0" containsDate="1" containsString="0" minDate="1950-01-26T00:00:00" maxDate="2005-05-16T00:00:00"/>
    </cacheField>
    <cacheField name="Age" numFmtId="0">
      <sharedItems containsSemiMixedTypes="0" containsString="0" containsNumber="1" containsInteger="1" minValue="21" maxValue="76"/>
    </cacheField>
    <cacheField name="Group" numFmtId="0">
      <sharedItems/>
    </cacheField>
    <cacheField name="doctor_id" numFmtId="0">
      <sharedItems count="10">
        <s v="D008"/>
        <s v="D001"/>
        <s v="D003"/>
        <s v="D010"/>
        <s v="D006"/>
        <s v="D002"/>
        <s v="D009"/>
        <s v="D007"/>
        <s v="D005"/>
        <s v="D004"/>
      </sharedItems>
    </cacheField>
    <cacheField name="name" numFmtId="0">
      <sharedItems count="10">
        <s v="Linda Brown"/>
        <s v="David Taylor"/>
        <s v="Jane Smith"/>
        <s v="Linda Wilson"/>
        <s v="Alex Davis"/>
        <s v="Jane Davis"/>
        <s v="Sarah Smith"/>
        <s v="Robert Davis"/>
        <s v="Sarah Taylor"/>
        <s v="David Jones"/>
      </sharedItems>
    </cacheField>
    <cacheField name="speialization" numFmtId="0">
      <sharedItems count="3">
        <s v="Dermatology"/>
        <s v="Pediatrics"/>
        <s v="Oncology"/>
      </sharedItems>
    </cacheField>
    <cacheField name="years of experience" numFmtId="0">
      <sharedItems containsSemiMixedTypes="0" containsString="0" containsNumber="1" containsInteger="1" minValue="5" maxValue="28"/>
    </cacheField>
    <cacheField name="hospital" numFmtId="1">
      <sharedItems count="3">
        <s v="Westside"/>
        <s v="Eastside"/>
        <s v="Central"/>
      </sharedItems>
    </cacheField>
    <cacheField name="branch" numFmtId="0">
      <sharedItems count="2">
        <s v="Clinic"/>
        <s v="Hospital"/>
      </sharedItems>
    </cacheField>
    <cacheField name="Branch2" numFmtId="0">
      <sharedItems count="2">
        <s v="Clinic"/>
        <s v="Hospital"/>
      </sharedItems>
    </cacheField>
    <cacheField name="Hospital2" numFmtId="14">
      <sharedItems count="3">
        <s v="Westside"/>
        <s v="Eastside"/>
        <s v="Central"/>
      </sharedItems>
    </cacheField>
    <cacheField name="Months" numFmtId="0" databaseField="0">
      <fieldGroup base="1">
        <rangePr groupBy="months" startDate="2023-01-01T00:00:00" endDate="2023-12-31T00:00:00"/>
        <groupItems count="14">
          <s v="&lt;1/1/2023"/>
          <s v="Jan"/>
          <s v="Feb"/>
          <s v="Mar"/>
          <s v="Apr"/>
          <s v="May"/>
          <s v="Jun"/>
          <s v="Jul"/>
          <s v="Aug"/>
          <s v="Sep"/>
          <s v="Oct"/>
          <s v="Nov"/>
          <s v="Dec"/>
          <s v="&gt;12/31/2023"/>
        </groupItems>
      </fieldGroup>
    </cacheField>
  </cacheFields>
  <extLst>
    <ext xmlns:x14="http://schemas.microsoft.com/office/spreadsheetml/2009/9/main" uri="{725AE2AE-9491-48be-B2B4-4EB974FC3084}">
      <x14:pivotCacheDefinition pivotCacheId="673724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A016"/>
    <x v="0"/>
    <x v="0"/>
    <x v="0"/>
    <x v="0"/>
    <x v="0"/>
    <s v="Michael Taylor"/>
    <x v="0"/>
    <d v="2000-07-22T00:00:00"/>
    <n v="26"/>
    <s v="19-30 Group"/>
    <x v="0"/>
    <x v="0"/>
    <x v="0"/>
    <n v="5"/>
    <x v="0"/>
    <x v="0"/>
    <x v="0"/>
    <x v="0"/>
  </r>
  <r>
    <s v="A024"/>
    <x v="1"/>
    <x v="1"/>
    <x v="1"/>
    <x v="1"/>
    <x v="1"/>
    <s v="David Moore"/>
    <x v="0"/>
    <d v="1972-11-26T00:00:00"/>
    <n v="53"/>
    <s v="46-60 Group"/>
    <x v="0"/>
    <x v="0"/>
    <x v="0"/>
    <n v="5"/>
    <x v="0"/>
    <x v="0"/>
    <x v="0"/>
    <x v="0"/>
  </r>
  <r>
    <s v="A050"/>
    <x v="2"/>
    <x v="2"/>
    <x v="0"/>
    <x v="2"/>
    <x v="2"/>
    <s v="Linda Miller"/>
    <x v="1"/>
    <d v="1966-04-25T00:00:00"/>
    <n v="60"/>
    <s v="46-60 Group"/>
    <x v="0"/>
    <x v="0"/>
    <x v="0"/>
    <n v="5"/>
    <x v="0"/>
    <x v="0"/>
    <x v="0"/>
    <x v="0"/>
  </r>
  <r>
    <s v="A052"/>
    <x v="3"/>
    <x v="3"/>
    <x v="2"/>
    <x v="2"/>
    <x v="0"/>
    <s v="Michael Taylor"/>
    <x v="0"/>
    <d v="2000-07-22T00:00:00"/>
    <n v="26"/>
    <s v="19-30 Group"/>
    <x v="0"/>
    <x v="0"/>
    <x v="0"/>
    <n v="5"/>
    <x v="0"/>
    <x v="0"/>
    <x v="0"/>
    <x v="0"/>
  </r>
  <r>
    <s v="A054"/>
    <x v="4"/>
    <x v="4"/>
    <x v="3"/>
    <x v="0"/>
    <x v="0"/>
    <s v="Michael Taylor"/>
    <x v="0"/>
    <d v="2000-07-22T00:00:00"/>
    <n v="26"/>
    <s v="19-30 Group"/>
    <x v="0"/>
    <x v="0"/>
    <x v="0"/>
    <n v="5"/>
    <x v="0"/>
    <x v="0"/>
    <x v="0"/>
    <x v="0"/>
  </r>
  <r>
    <s v="A058"/>
    <x v="5"/>
    <x v="5"/>
    <x v="0"/>
    <x v="2"/>
    <x v="3"/>
    <s v="Alex Moore"/>
    <x v="0"/>
    <d v="1981-01-08T00:00:00"/>
    <n v="45"/>
    <s v="31-45 Group"/>
    <x v="0"/>
    <x v="0"/>
    <x v="0"/>
    <n v="5"/>
    <x v="0"/>
    <x v="0"/>
    <x v="0"/>
    <x v="0"/>
  </r>
  <r>
    <s v="A078"/>
    <x v="6"/>
    <x v="6"/>
    <x v="0"/>
    <x v="2"/>
    <x v="4"/>
    <s v="Laura Johnson"/>
    <x v="1"/>
    <d v="1990-03-28T00:00:00"/>
    <n v="36"/>
    <s v="31-45 Group"/>
    <x v="0"/>
    <x v="0"/>
    <x v="0"/>
    <n v="5"/>
    <x v="0"/>
    <x v="0"/>
    <x v="0"/>
    <x v="0"/>
  </r>
  <r>
    <s v="A082"/>
    <x v="7"/>
    <x v="7"/>
    <x v="3"/>
    <x v="0"/>
    <x v="5"/>
    <s v="Emily Smith"/>
    <x v="1"/>
    <d v="1984-10-12T00:00:00"/>
    <n v="41"/>
    <s v="31-45 Group"/>
    <x v="0"/>
    <x v="0"/>
    <x v="0"/>
    <n v="5"/>
    <x v="0"/>
    <x v="0"/>
    <x v="0"/>
    <x v="0"/>
  </r>
  <r>
    <s v="A122"/>
    <x v="8"/>
    <x v="8"/>
    <x v="2"/>
    <x v="3"/>
    <x v="6"/>
    <s v="Laura Davis"/>
    <x v="1"/>
    <d v="1991-12-08T00:00:00"/>
    <n v="34"/>
    <s v="31-45 Group"/>
    <x v="0"/>
    <x v="0"/>
    <x v="0"/>
    <n v="5"/>
    <x v="0"/>
    <x v="0"/>
    <x v="0"/>
    <x v="0"/>
  </r>
  <r>
    <s v="A124"/>
    <x v="9"/>
    <x v="9"/>
    <x v="4"/>
    <x v="3"/>
    <x v="4"/>
    <s v="Laura Johnson"/>
    <x v="1"/>
    <d v="1990-03-28T00:00:00"/>
    <n v="36"/>
    <s v="31-45 Group"/>
    <x v="0"/>
    <x v="0"/>
    <x v="0"/>
    <n v="5"/>
    <x v="0"/>
    <x v="0"/>
    <x v="0"/>
    <x v="0"/>
  </r>
  <r>
    <s v="A156"/>
    <x v="10"/>
    <x v="8"/>
    <x v="2"/>
    <x v="1"/>
    <x v="7"/>
    <s v="Michael Wilson"/>
    <x v="0"/>
    <d v="2002-03-01T00:00:00"/>
    <n v="24"/>
    <s v="19-30 Group"/>
    <x v="0"/>
    <x v="0"/>
    <x v="0"/>
    <n v="5"/>
    <x v="0"/>
    <x v="0"/>
    <x v="0"/>
    <x v="0"/>
  </r>
  <r>
    <s v="A164"/>
    <x v="11"/>
    <x v="9"/>
    <x v="2"/>
    <x v="3"/>
    <x v="8"/>
    <s v="Alex Taylor"/>
    <x v="0"/>
    <d v="1968-02-27T00:00:00"/>
    <n v="58"/>
    <s v="46-60 Group"/>
    <x v="0"/>
    <x v="0"/>
    <x v="0"/>
    <n v="5"/>
    <x v="0"/>
    <x v="0"/>
    <x v="0"/>
    <x v="0"/>
  </r>
  <r>
    <s v="A169"/>
    <x v="12"/>
    <x v="10"/>
    <x v="3"/>
    <x v="3"/>
    <x v="9"/>
    <s v="David Smith"/>
    <x v="0"/>
    <d v="2005-05-15T00:00:00"/>
    <n v="21"/>
    <s v="19-30 Group"/>
    <x v="0"/>
    <x v="0"/>
    <x v="0"/>
    <n v="5"/>
    <x v="0"/>
    <x v="0"/>
    <x v="0"/>
    <x v="0"/>
  </r>
  <r>
    <s v="A180"/>
    <x v="13"/>
    <x v="0"/>
    <x v="0"/>
    <x v="3"/>
    <x v="10"/>
    <s v="Alex Johnson"/>
    <x v="1"/>
    <d v="1989-06-08T00:00:00"/>
    <n v="37"/>
    <s v="31-45 Group"/>
    <x v="0"/>
    <x v="0"/>
    <x v="0"/>
    <n v="5"/>
    <x v="0"/>
    <x v="0"/>
    <x v="0"/>
    <x v="0"/>
  </r>
  <r>
    <s v="A182"/>
    <x v="14"/>
    <x v="1"/>
    <x v="3"/>
    <x v="1"/>
    <x v="4"/>
    <s v="Laura Johnson"/>
    <x v="1"/>
    <d v="1990-03-28T00:00:00"/>
    <n v="36"/>
    <s v="31-45 Group"/>
    <x v="0"/>
    <x v="0"/>
    <x v="0"/>
    <n v="5"/>
    <x v="0"/>
    <x v="0"/>
    <x v="0"/>
    <x v="0"/>
  </r>
  <r>
    <s v="A184"/>
    <x v="15"/>
    <x v="11"/>
    <x v="2"/>
    <x v="1"/>
    <x v="11"/>
    <s v="Jane Smith"/>
    <x v="1"/>
    <d v="1954-08-22T00:00:00"/>
    <n v="72"/>
    <s v="60+ "/>
    <x v="0"/>
    <x v="0"/>
    <x v="0"/>
    <n v="5"/>
    <x v="0"/>
    <x v="0"/>
    <x v="0"/>
    <x v="0"/>
  </r>
  <r>
    <s v="A019"/>
    <x v="16"/>
    <x v="12"/>
    <x v="1"/>
    <x v="3"/>
    <x v="9"/>
    <s v="David Smith"/>
    <x v="0"/>
    <d v="2005-05-15T00:00:00"/>
    <n v="21"/>
    <s v="19-30 Group"/>
    <x v="1"/>
    <x v="1"/>
    <x v="0"/>
    <n v="17"/>
    <x v="0"/>
    <x v="0"/>
    <x v="0"/>
    <x v="0"/>
  </r>
  <r>
    <s v="A022"/>
    <x v="17"/>
    <x v="13"/>
    <x v="0"/>
    <x v="2"/>
    <x v="12"/>
    <s v="David Wilson"/>
    <x v="0"/>
    <d v="1960-06-23T00:00:00"/>
    <n v="66"/>
    <s v="60+ "/>
    <x v="1"/>
    <x v="1"/>
    <x v="0"/>
    <n v="17"/>
    <x v="0"/>
    <x v="0"/>
    <x v="0"/>
    <x v="0"/>
  </r>
  <r>
    <s v="A025"/>
    <x v="18"/>
    <x v="1"/>
    <x v="3"/>
    <x v="2"/>
    <x v="13"/>
    <s v="Emily Moore"/>
    <x v="0"/>
    <d v="1964-12-23T00:00:00"/>
    <n v="61"/>
    <s v="60+ "/>
    <x v="1"/>
    <x v="1"/>
    <x v="0"/>
    <n v="17"/>
    <x v="0"/>
    <x v="0"/>
    <x v="0"/>
    <x v="0"/>
  </r>
  <r>
    <s v="A041"/>
    <x v="19"/>
    <x v="14"/>
    <x v="4"/>
    <x v="2"/>
    <x v="12"/>
    <s v="David Wilson"/>
    <x v="0"/>
    <d v="1960-06-23T00:00:00"/>
    <n v="66"/>
    <s v="60+ "/>
    <x v="1"/>
    <x v="1"/>
    <x v="0"/>
    <n v="17"/>
    <x v="0"/>
    <x v="0"/>
    <x v="0"/>
    <x v="0"/>
  </r>
  <r>
    <s v="A042"/>
    <x v="20"/>
    <x v="6"/>
    <x v="4"/>
    <x v="0"/>
    <x v="14"/>
    <s v="Michael Wilson"/>
    <x v="0"/>
    <d v="1997-12-26T00:00:00"/>
    <n v="28"/>
    <s v="19-30 Group"/>
    <x v="1"/>
    <x v="1"/>
    <x v="0"/>
    <n v="17"/>
    <x v="0"/>
    <x v="0"/>
    <x v="0"/>
    <x v="0"/>
  </r>
  <r>
    <s v="A065"/>
    <x v="21"/>
    <x v="15"/>
    <x v="4"/>
    <x v="3"/>
    <x v="15"/>
    <s v="Michael Wilson"/>
    <x v="1"/>
    <d v="1970-02-06T00:00:00"/>
    <n v="56"/>
    <s v="46-60 Group"/>
    <x v="1"/>
    <x v="1"/>
    <x v="0"/>
    <n v="17"/>
    <x v="0"/>
    <x v="0"/>
    <x v="0"/>
    <x v="0"/>
  </r>
  <r>
    <s v="A067"/>
    <x v="22"/>
    <x v="0"/>
    <x v="3"/>
    <x v="0"/>
    <x v="16"/>
    <s v="Linda Brown"/>
    <x v="0"/>
    <d v="1980-03-25T00:00:00"/>
    <n v="46"/>
    <s v="46-60 Group"/>
    <x v="1"/>
    <x v="1"/>
    <x v="0"/>
    <n v="17"/>
    <x v="0"/>
    <x v="0"/>
    <x v="0"/>
    <x v="0"/>
  </r>
  <r>
    <s v="A083"/>
    <x v="23"/>
    <x v="16"/>
    <x v="4"/>
    <x v="1"/>
    <x v="17"/>
    <s v="Laura Wilson"/>
    <x v="0"/>
    <d v="1993-12-27T00:00:00"/>
    <n v="32"/>
    <s v="31-45 Group"/>
    <x v="1"/>
    <x v="1"/>
    <x v="0"/>
    <n v="17"/>
    <x v="0"/>
    <x v="0"/>
    <x v="0"/>
    <x v="0"/>
  </r>
  <r>
    <s v="A085"/>
    <x v="24"/>
    <x v="17"/>
    <x v="3"/>
    <x v="3"/>
    <x v="18"/>
    <s v="Linda Johnson"/>
    <x v="0"/>
    <d v="1994-02-22T00:00:00"/>
    <n v="32"/>
    <s v="31-45 Group"/>
    <x v="1"/>
    <x v="1"/>
    <x v="0"/>
    <n v="17"/>
    <x v="0"/>
    <x v="0"/>
    <x v="0"/>
    <x v="0"/>
  </r>
  <r>
    <s v="A087"/>
    <x v="25"/>
    <x v="18"/>
    <x v="3"/>
    <x v="3"/>
    <x v="19"/>
    <s v="John Taylor"/>
    <x v="0"/>
    <d v="2003-11-28T00:00:00"/>
    <n v="22"/>
    <s v="19-30 Group"/>
    <x v="1"/>
    <x v="1"/>
    <x v="0"/>
    <n v="17"/>
    <x v="0"/>
    <x v="0"/>
    <x v="0"/>
    <x v="0"/>
  </r>
  <r>
    <s v="A092"/>
    <x v="26"/>
    <x v="19"/>
    <x v="2"/>
    <x v="0"/>
    <x v="19"/>
    <s v="John Taylor"/>
    <x v="0"/>
    <d v="2003-11-28T00:00:00"/>
    <n v="22"/>
    <s v="19-30 Group"/>
    <x v="1"/>
    <x v="1"/>
    <x v="0"/>
    <n v="17"/>
    <x v="0"/>
    <x v="0"/>
    <x v="0"/>
    <x v="0"/>
  </r>
  <r>
    <s v="A093"/>
    <x v="27"/>
    <x v="3"/>
    <x v="3"/>
    <x v="1"/>
    <x v="20"/>
    <s v="Alex Smith"/>
    <x v="1"/>
    <d v="1950-01-26T00:00:00"/>
    <n v="76"/>
    <s v="60+ "/>
    <x v="1"/>
    <x v="1"/>
    <x v="0"/>
    <n v="17"/>
    <x v="0"/>
    <x v="0"/>
    <x v="0"/>
    <x v="0"/>
  </r>
  <r>
    <s v="A097"/>
    <x v="28"/>
    <x v="20"/>
    <x v="3"/>
    <x v="2"/>
    <x v="17"/>
    <s v="Laura Wilson"/>
    <x v="0"/>
    <d v="1993-12-27T00:00:00"/>
    <n v="32"/>
    <s v="31-45 Group"/>
    <x v="1"/>
    <x v="1"/>
    <x v="0"/>
    <n v="17"/>
    <x v="0"/>
    <x v="0"/>
    <x v="0"/>
    <x v="0"/>
  </r>
  <r>
    <s v="A101"/>
    <x v="29"/>
    <x v="5"/>
    <x v="2"/>
    <x v="0"/>
    <x v="14"/>
    <s v="Michael Wilson"/>
    <x v="0"/>
    <d v="1997-12-26T00:00:00"/>
    <n v="28"/>
    <s v="19-30 Group"/>
    <x v="1"/>
    <x v="1"/>
    <x v="0"/>
    <n v="17"/>
    <x v="0"/>
    <x v="0"/>
    <x v="0"/>
    <x v="0"/>
  </r>
  <r>
    <s v="A114"/>
    <x v="30"/>
    <x v="21"/>
    <x v="2"/>
    <x v="1"/>
    <x v="21"/>
    <s v="Laura Wilson"/>
    <x v="0"/>
    <d v="1979-09-24T00:00:00"/>
    <n v="46"/>
    <s v="46-60 Group"/>
    <x v="1"/>
    <x v="1"/>
    <x v="0"/>
    <n v="17"/>
    <x v="0"/>
    <x v="0"/>
    <x v="0"/>
    <x v="0"/>
  </r>
  <r>
    <s v="A117"/>
    <x v="31"/>
    <x v="22"/>
    <x v="0"/>
    <x v="2"/>
    <x v="3"/>
    <s v="Alex Moore"/>
    <x v="0"/>
    <d v="1981-01-08T00:00:00"/>
    <n v="45"/>
    <s v="31-45 Group"/>
    <x v="1"/>
    <x v="1"/>
    <x v="0"/>
    <n v="17"/>
    <x v="0"/>
    <x v="0"/>
    <x v="0"/>
    <x v="0"/>
  </r>
  <r>
    <s v="A120"/>
    <x v="32"/>
    <x v="0"/>
    <x v="2"/>
    <x v="2"/>
    <x v="3"/>
    <s v="Alex Moore"/>
    <x v="0"/>
    <d v="1981-01-08T00:00:00"/>
    <n v="45"/>
    <s v="31-45 Group"/>
    <x v="1"/>
    <x v="1"/>
    <x v="0"/>
    <n v="17"/>
    <x v="0"/>
    <x v="0"/>
    <x v="0"/>
    <x v="0"/>
  </r>
  <r>
    <s v="A121"/>
    <x v="33"/>
    <x v="2"/>
    <x v="1"/>
    <x v="1"/>
    <x v="22"/>
    <s v="Robert Williams"/>
    <x v="0"/>
    <d v="1999-02-05T00:00:00"/>
    <n v="27"/>
    <s v="19-30 Group"/>
    <x v="1"/>
    <x v="1"/>
    <x v="0"/>
    <n v="17"/>
    <x v="0"/>
    <x v="0"/>
    <x v="0"/>
    <x v="0"/>
  </r>
  <r>
    <s v="A133"/>
    <x v="34"/>
    <x v="8"/>
    <x v="1"/>
    <x v="1"/>
    <x v="23"/>
    <s v="Emily Miller"/>
    <x v="0"/>
    <d v="1983-03-24T00:00:00"/>
    <n v="43"/>
    <s v="31-45 Group"/>
    <x v="1"/>
    <x v="1"/>
    <x v="0"/>
    <n v="17"/>
    <x v="0"/>
    <x v="0"/>
    <x v="0"/>
    <x v="0"/>
  </r>
  <r>
    <s v="A137"/>
    <x v="35"/>
    <x v="23"/>
    <x v="4"/>
    <x v="2"/>
    <x v="24"/>
    <s v="Sarah Miller"/>
    <x v="0"/>
    <d v="1975-05-24T00:00:00"/>
    <n v="51"/>
    <s v="46-60 Group"/>
    <x v="1"/>
    <x v="1"/>
    <x v="0"/>
    <n v="17"/>
    <x v="0"/>
    <x v="0"/>
    <x v="0"/>
    <x v="0"/>
  </r>
  <r>
    <s v="A155"/>
    <x v="36"/>
    <x v="3"/>
    <x v="0"/>
    <x v="3"/>
    <x v="25"/>
    <s v="Robert Wilson"/>
    <x v="0"/>
    <d v="1966-08-14T00:00:00"/>
    <n v="60"/>
    <s v="46-60 Group"/>
    <x v="1"/>
    <x v="1"/>
    <x v="0"/>
    <n v="17"/>
    <x v="0"/>
    <x v="0"/>
    <x v="0"/>
    <x v="0"/>
  </r>
  <r>
    <s v="A160"/>
    <x v="37"/>
    <x v="24"/>
    <x v="4"/>
    <x v="3"/>
    <x v="26"/>
    <s v="Jane Wilson"/>
    <x v="1"/>
    <d v="1950-12-12T00:00:00"/>
    <n v="75"/>
    <s v="60+ "/>
    <x v="1"/>
    <x v="1"/>
    <x v="0"/>
    <n v="17"/>
    <x v="0"/>
    <x v="0"/>
    <x v="0"/>
    <x v="0"/>
  </r>
  <r>
    <s v="A165"/>
    <x v="38"/>
    <x v="12"/>
    <x v="0"/>
    <x v="3"/>
    <x v="27"/>
    <s v="Robert Miller"/>
    <x v="0"/>
    <d v="1987-01-14T00:00:00"/>
    <n v="39"/>
    <s v="31-45 Group"/>
    <x v="1"/>
    <x v="1"/>
    <x v="0"/>
    <n v="17"/>
    <x v="0"/>
    <x v="0"/>
    <x v="0"/>
    <x v="0"/>
  </r>
  <r>
    <s v="A167"/>
    <x v="39"/>
    <x v="25"/>
    <x v="3"/>
    <x v="0"/>
    <x v="28"/>
    <s v="David Wilson"/>
    <x v="1"/>
    <d v="1993-04-13T00:00:00"/>
    <n v="33"/>
    <s v="31-45 Group"/>
    <x v="1"/>
    <x v="1"/>
    <x v="0"/>
    <n v="17"/>
    <x v="0"/>
    <x v="0"/>
    <x v="0"/>
    <x v="0"/>
  </r>
  <r>
    <s v="A199"/>
    <x v="40"/>
    <x v="24"/>
    <x v="3"/>
    <x v="1"/>
    <x v="29"/>
    <s v="Jane Jones"/>
    <x v="0"/>
    <d v="1991-05-01T00:00:00"/>
    <n v="35"/>
    <s v="31-45 Group"/>
    <x v="1"/>
    <x v="1"/>
    <x v="0"/>
    <n v="17"/>
    <x v="0"/>
    <x v="0"/>
    <x v="0"/>
    <x v="0"/>
  </r>
  <r>
    <s v="A005"/>
    <x v="41"/>
    <x v="24"/>
    <x v="4"/>
    <x v="2"/>
    <x v="30"/>
    <s v="Emily Williams"/>
    <x v="0"/>
    <d v="1972-05-30T00:00:00"/>
    <n v="54"/>
    <s v="46-60 Group"/>
    <x v="2"/>
    <x v="2"/>
    <x v="1"/>
    <n v="19"/>
    <x v="1"/>
    <x v="0"/>
    <x v="0"/>
    <x v="1"/>
  </r>
  <r>
    <s v="A010"/>
    <x v="42"/>
    <x v="12"/>
    <x v="2"/>
    <x v="1"/>
    <x v="12"/>
    <s v="David Wilson"/>
    <x v="0"/>
    <d v="1960-06-23T00:00:00"/>
    <n v="66"/>
    <s v="60+ "/>
    <x v="2"/>
    <x v="2"/>
    <x v="1"/>
    <n v="19"/>
    <x v="1"/>
    <x v="0"/>
    <x v="0"/>
    <x v="1"/>
  </r>
  <r>
    <s v="A012"/>
    <x v="43"/>
    <x v="23"/>
    <x v="3"/>
    <x v="1"/>
    <x v="9"/>
    <s v="David Smith"/>
    <x v="0"/>
    <d v="2005-05-15T00:00:00"/>
    <n v="21"/>
    <s v="19-30 Group"/>
    <x v="2"/>
    <x v="2"/>
    <x v="1"/>
    <n v="19"/>
    <x v="1"/>
    <x v="0"/>
    <x v="0"/>
    <x v="1"/>
  </r>
  <r>
    <s v="A020"/>
    <x v="44"/>
    <x v="26"/>
    <x v="0"/>
    <x v="1"/>
    <x v="8"/>
    <s v="Alex Taylor"/>
    <x v="0"/>
    <d v="1968-02-27T00:00:00"/>
    <n v="58"/>
    <s v="46-60 Group"/>
    <x v="2"/>
    <x v="2"/>
    <x v="1"/>
    <n v="19"/>
    <x v="1"/>
    <x v="0"/>
    <x v="0"/>
    <x v="1"/>
  </r>
  <r>
    <s v="A035"/>
    <x v="45"/>
    <x v="27"/>
    <x v="3"/>
    <x v="0"/>
    <x v="14"/>
    <s v="Michael Wilson"/>
    <x v="0"/>
    <d v="1997-12-26T00:00:00"/>
    <n v="28"/>
    <s v="19-30 Group"/>
    <x v="2"/>
    <x v="2"/>
    <x v="1"/>
    <n v="19"/>
    <x v="1"/>
    <x v="0"/>
    <x v="0"/>
    <x v="1"/>
  </r>
  <r>
    <s v="A036"/>
    <x v="46"/>
    <x v="8"/>
    <x v="1"/>
    <x v="2"/>
    <x v="15"/>
    <s v="Michael Wilson"/>
    <x v="1"/>
    <d v="1970-02-06T00:00:00"/>
    <n v="56"/>
    <s v="46-60 Group"/>
    <x v="2"/>
    <x v="2"/>
    <x v="1"/>
    <n v="19"/>
    <x v="1"/>
    <x v="0"/>
    <x v="0"/>
    <x v="1"/>
  </r>
  <r>
    <s v="A046"/>
    <x v="47"/>
    <x v="5"/>
    <x v="0"/>
    <x v="3"/>
    <x v="24"/>
    <s v="Sarah Miller"/>
    <x v="0"/>
    <d v="1975-05-24T00:00:00"/>
    <n v="51"/>
    <s v="46-60 Group"/>
    <x v="2"/>
    <x v="2"/>
    <x v="1"/>
    <n v="19"/>
    <x v="1"/>
    <x v="0"/>
    <x v="0"/>
    <x v="1"/>
  </r>
  <r>
    <s v="A070"/>
    <x v="48"/>
    <x v="28"/>
    <x v="3"/>
    <x v="0"/>
    <x v="31"/>
    <s v="Laura Jones"/>
    <x v="0"/>
    <d v="1977-08-21T00:00:00"/>
    <n v="49"/>
    <s v="46-60 Group"/>
    <x v="2"/>
    <x v="2"/>
    <x v="1"/>
    <n v="19"/>
    <x v="1"/>
    <x v="0"/>
    <x v="0"/>
    <x v="1"/>
  </r>
  <r>
    <s v="A073"/>
    <x v="49"/>
    <x v="2"/>
    <x v="3"/>
    <x v="1"/>
    <x v="30"/>
    <s v="Emily Williams"/>
    <x v="0"/>
    <d v="1972-05-30T00:00:00"/>
    <n v="54"/>
    <s v="46-60 Group"/>
    <x v="2"/>
    <x v="2"/>
    <x v="1"/>
    <n v="19"/>
    <x v="1"/>
    <x v="0"/>
    <x v="0"/>
    <x v="1"/>
  </r>
  <r>
    <s v="A096"/>
    <x v="50"/>
    <x v="2"/>
    <x v="0"/>
    <x v="1"/>
    <x v="32"/>
    <s v="Michael Johnson"/>
    <x v="1"/>
    <d v="1981-02-20T00:00:00"/>
    <n v="45"/>
    <s v="31-45 Group"/>
    <x v="2"/>
    <x v="2"/>
    <x v="1"/>
    <n v="19"/>
    <x v="1"/>
    <x v="0"/>
    <x v="0"/>
    <x v="1"/>
  </r>
  <r>
    <s v="A105"/>
    <x v="51"/>
    <x v="29"/>
    <x v="1"/>
    <x v="2"/>
    <x v="33"/>
    <s v="Michael Taylor"/>
    <x v="0"/>
    <d v="2001-10-13T00:00:00"/>
    <n v="24"/>
    <s v="19-30 Group"/>
    <x v="2"/>
    <x v="2"/>
    <x v="1"/>
    <n v="19"/>
    <x v="1"/>
    <x v="0"/>
    <x v="0"/>
    <x v="1"/>
  </r>
  <r>
    <s v="A113"/>
    <x v="52"/>
    <x v="12"/>
    <x v="0"/>
    <x v="3"/>
    <x v="14"/>
    <s v="Michael Wilson"/>
    <x v="0"/>
    <d v="1997-12-26T00:00:00"/>
    <n v="28"/>
    <s v="19-30 Group"/>
    <x v="2"/>
    <x v="2"/>
    <x v="1"/>
    <n v="19"/>
    <x v="1"/>
    <x v="0"/>
    <x v="0"/>
    <x v="1"/>
  </r>
  <r>
    <s v="A118"/>
    <x v="53"/>
    <x v="25"/>
    <x v="0"/>
    <x v="0"/>
    <x v="34"/>
    <s v="Sarah Brown"/>
    <x v="1"/>
    <d v="1991-11-04T00:00:00"/>
    <n v="34"/>
    <s v="31-45 Group"/>
    <x v="2"/>
    <x v="2"/>
    <x v="1"/>
    <n v="19"/>
    <x v="1"/>
    <x v="0"/>
    <x v="0"/>
    <x v="1"/>
  </r>
  <r>
    <s v="A131"/>
    <x v="54"/>
    <x v="30"/>
    <x v="2"/>
    <x v="2"/>
    <x v="1"/>
    <s v="David Moore"/>
    <x v="0"/>
    <d v="1972-11-26T00:00:00"/>
    <n v="53"/>
    <s v="46-60 Group"/>
    <x v="2"/>
    <x v="2"/>
    <x v="1"/>
    <n v="19"/>
    <x v="1"/>
    <x v="0"/>
    <x v="0"/>
    <x v="1"/>
  </r>
  <r>
    <s v="A142"/>
    <x v="55"/>
    <x v="4"/>
    <x v="2"/>
    <x v="2"/>
    <x v="24"/>
    <s v="Sarah Miller"/>
    <x v="0"/>
    <d v="1975-05-24T00:00:00"/>
    <n v="51"/>
    <s v="46-60 Group"/>
    <x v="2"/>
    <x v="2"/>
    <x v="1"/>
    <n v="19"/>
    <x v="1"/>
    <x v="0"/>
    <x v="0"/>
    <x v="1"/>
  </r>
  <r>
    <s v="A150"/>
    <x v="2"/>
    <x v="7"/>
    <x v="2"/>
    <x v="1"/>
    <x v="35"/>
    <s v="Jane Moore"/>
    <x v="0"/>
    <d v="1995-12-13T00:00:00"/>
    <n v="30"/>
    <s v="19-30 Group"/>
    <x v="2"/>
    <x v="2"/>
    <x v="1"/>
    <n v="19"/>
    <x v="1"/>
    <x v="0"/>
    <x v="0"/>
    <x v="1"/>
  </r>
  <r>
    <s v="A159"/>
    <x v="56"/>
    <x v="17"/>
    <x v="4"/>
    <x v="2"/>
    <x v="0"/>
    <s v="Michael Taylor"/>
    <x v="0"/>
    <d v="2000-07-22T00:00:00"/>
    <n v="26"/>
    <s v="19-30 Group"/>
    <x v="2"/>
    <x v="2"/>
    <x v="1"/>
    <n v="19"/>
    <x v="1"/>
    <x v="0"/>
    <x v="0"/>
    <x v="1"/>
  </r>
  <r>
    <s v="A175"/>
    <x v="57"/>
    <x v="28"/>
    <x v="0"/>
    <x v="3"/>
    <x v="36"/>
    <s v="Laura Davis"/>
    <x v="0"/>
    <d v="1971-12-11T00:00:00"/>
    <n v="54"/>
    <s v="46-60 Group"/>
    <x v="2"/>
    <x v="2"/>
    <x v="1"/>
    <n v="19"/>
    <x v="1"/>
    <x v="0"/>
    <x v="0"/>
    <x v="1"/>
  </r>
  <r>
    <s v="A186"/>
    <x v="58"/>
    <x v="9"/>
    <x v="3"/>
    <x v="2"/>
    <x v="17"/>
    <s v="Laura Wilson"/>
    <x v="0"/>
    <d v="1993-12-27T00:00:00"/>
    <n v="32"/>
    <s v="31-45 Group"/>
    <x v="2"/>
    <x v="2"/>
    <x v="1"/>
    <n v="19"/>
    <x v="1"/>
    <x v="0"/>
    <x v="0"/>
    <x v="1"/>
  </r>
  <r>
    <s v="A187"/>
    <x v="59"/>
    <x v="16"/>
    <x v="0"/>
    <x v="0"/>
    <x v="37"/>
    <s v="Linda Moore"/>
    <x v="1"/>
    <d v="1998-06-29T00:00:00"/>
    <n v="28"/>
    <s v="19-30 Group"/>
    <x v="2"/>
    <x v="2"/>
    <x v="1"/>
    <n v="19"/>
    <x v="1"/>
    <x v="0"/>
    <x v="0"/>
    <x v="1"/>
  </r>
  <r>
    <s v="A190"/>
    <x v="60"/>
    <x v="26"/>
    <x v="1"/>
    <x v="0"/>
    <x v="9"/>
    <s v="David Smith"/>
    <x v="0"/>
    <d v="2005-05-15T00:00:00"/>
    <n v="21"/>
    <s v="19-30 Group"/>
    <x v="2"/>
    <x v="2"/>
    <x v="1"/>
    <n v="19"/>
    <x v="1"/>
    <x v="0"/>
    <x v="0"/>
    <x v="1"/>
  </r>
  <r>
    <s v="A191"/>
    <x v="14"/>
    <x v="29"/>
    <x v="0"/>
    <x v="3"/>
    <x v="22"/>
    <s v="Robert Williams"/>
    <x v="0"/>
    <d v="1999-02-05T00:00:00"/>
    <n v="27"/>
    <s v="19-30 Group"/>
    <x v="2"/>
    <x v="2"/>
    <x v="1"/>
    <n v="19"/>
    <x v="1"/>
    <x v="0"/>
    <x v="0"/>
    <x v="1"/>
  </r>
  <r>
    <s v="A008"/>
    <x v="61"/>
    <x v="27"/>
    <x v="0"/>
    <x v="3"/>
    <x v="0"/>
    <s v="Michael Taylor"/>
    <x v="0"/>
    <d v="2000-07-22T00:00:00"/>
    <n v="26"/>
    <s v="19-30 Group"/>
    <x v="3"/>
    <x v="3"/>
    <x v="2"/>
    <n v="21"/>
    <x v="1"/>
    <x v="0"/>
    <x v="0"/>
    <x v="1"/>
  </r>
  <r>
    <s v="A009"/>
    <x v="62"/>
    <x v="22"/>
    <x v="3"/>
    <x v="0"/>
    <x v="26"/>
    <s v="Jane Wilson"/>
    <x v="1"/>
    <d v="1950-12-12T00:00:00"/>
    <n v="75"/>
    <s v="60+ "/>
    <x v="3"/>
    <x v="3"/>
    <x v="2"/>
    <n v="21"/>
    <x v="1"/>
    <x v="0"/>
    <x v="0"/>
    <x v="1"/>
  </r>
  <r>
    <s v="A014"/>
    <x v="63"/>
    <x v="31"/>
    <x v="4"/>
    <x v="3"/>
    <x v="6"/>
    <s v="Laura Davis"/>
    <x v="1"/>
    <d v="1991-12-08T00:00:00"/>
    <n v="34"/>
    <s v="31-45 Group"/>
    <x v="3"/>
    <x v="3"/>
    <x v="2"/>
    <n v="21"/>
    <x v="1"/>
    <x v="0"/>
    <x v="0"/>
    <x v="1"/>
  </r>
  <r>
    <s v="A029"/>
    <x v="64"/>
    <x v="8"/>
    <x v="1"/>
    <x v="1"/>
    <x v="0"/>
    <s v="Michael Taylor"/>
    <x v="0"/>
    <d v="2000-07-22T00:00:00"/>
    <n v="26"/>
    <s v="19-30 Group"/>
    <x v="3"/>
    <x v="3"/>
    <x v="2"/>
    <n v="21"/>
    <x v="1"/>
    <x v="0"/>
    <x v="0"/>
    <x v="1"/>
  </r>
  <r>
    <s v="A049"/>
    <x v="65"/>
    <x v="12"/>
    <x v="0"/>
    <x v="2"/>
    <x v="12"/>
    <s v="David Wilson"/>
    <x v="0"/>
    <d v="1960-06-23T00:00:00"/>
    <n v="66"/>
    <s v="60+ "/>
    <x v="3"/>
    <x v="3"/>
    <x v="2"/>
    <n v="21"/>
    <x v="1"/>
    <x v="0"/>
    <x v="0"/>
    <x v="1"/>
  </r>
  <r>
    <s v="A055"/>
    <x v="66"/>
    <x v="32"/>
    <x v="1"/>
    <x v="0"/>
    <x v="5"/>
    <s v="Emily Smith"/>
    <x v="1"/>
    <d v="1984-10-12T00:00:00"/>
    <n v="41"/>
    <s v="31-45 Group"/>
    <x v="3"/>
    <x v="3"/>
    <x v="2"/>
    <n v="21"/>
    <x v="1"/>
    <x v="0"/>
    <x v="0"/>
    <x v="1"/>
  </r>
  <r>
    <s v="A057"/>
    <x v="67"/>
    <x v="11"/>
    <x v="4"/>
    <x v="1"/>
    <x v="38"/>
    <s v="Alex Moore"/>
    <x v="0"/>
    <d v="1993-04-13T00:00:00"/>
    <n v="33"/>
    <s v="31-45 Group"/>
    <x v="3"/>
    <x v="3"/>
    <x v="2"/>
    <n v="21"/>
    <x v="1"/>
    <x v="0"/>
    <x v="0"/>
    <x v="1"/>
  </r>
  <r>
    <s v="A059"/>
    <x v="68"/>
    <x v="12"/>
    <x v="2"/>
    <x v="3"/>
    <x v="37"/>
    <s v="Linda Moore"/>
    <x v="1"/>
    <d v="1998-06-29T00:00:00"/>
    <n v="28"/>
    <s v="19-30 Group"/>
    <x v="3"/>
    <x v="3"/>
    <x v="2"/>
    <n v="21"/>
    <x v="1"/>
    <x v="0"/>
    <x v="0"/>
    <x v="1"/>
  </r>
  <r>
    <s v="A077"/>
    <x v="69"/>
    <x v="9"/>
    <x v="1"/>
    <x v="1"/>
    <x v="9"/>
    <s v="David Smith"/>
    <x v="0"/>
    <d v="2005-05-15T00:00:00"/>
    <n v="21"/>
    <s v="19-30 Group"/>
    <x v="3"/>
    <x v="3"/>
    <x v="2"/>
    <n v="21"/>
    <x v="1"/>
    <x v="0"/>
    <x v="0"/>
    <x v="1"/>
  </r>
  <r>
    <s v="A089"/>
    <x v="70"/>
    <x v="0"/>
    <x v="0"/>
    <x v="1"/>
    <x v="9"/>
    <s v="David Smith"/>
    <x v="0"/>
    <d v="2005-05-15T00:00:00"/>
    <n v="21"/>
    <s v="19-30 Group"/>
    <x v="3"/>
    <x v="3"/>
    <x v="2"/>
    <n v="21"/>
    <x v="1"/>
    <x v="0"/>
    <x v="0"/>
    <x v="1"/>
  </r>
  <r>
    <s v="A111"/>
    <x v="71"/>
    <x v="12"/>
    <x v="3"/>
    <x v="0"/>
    <x v="28"/>
    <s v="David Wilson"/>
    <x v="1"/>
    <d v="1993-04-13T00:00:00"/>
    <n v="33"/>
    <s v="31-45 Group"/>
    <x v="3"/>
    <x v="3"/>
    <x v="2"/>
    <n v="21"/>
    <x v="1"/>
    <x v="0"/>
    <x v="0"/>
    <x v="1"/>
  </r>
  <r>
    <s v="A112"/>
    <x v="72"/>
    <x v="1"/>
    <x v="3"/>
    <x v="2"/>
    <x v="23"/>
    <s v="Emily Miller"/>
    <x v="0"/>
    <d v="1983-03-24T00:00:00"/>
    <n v="43"/>
    <s v="31-45 Group"/>
    <x v="3"/>
    <x v="3"/>
    <x v="2"/>
    <n v="21"/>
    <x v="1"/>
    <x v="0"/>
    <x v="0"/>
    <x v="1"/>
  </r>
  <r>
    <s v="A126"/>
    <x v="73"/>
    <x v="33"/>
    <x v="4"/>
    <x v="0"/>
    <x v="25"/>
    <s v="Robert Wilson"/>
    <x v="0"/>
    <d v="1966-08-14T00:00:00"/>
    <n v="60"/>
    <s v="46-60 Group"/>
    <x v="3"/>
    <x v="3"/>
    <x v="2"/>
    <n v="21"/>
    <x v="1"/>
    <x v="0"/>
    <x v="0"/>
    <x v="1"/>
  </r>
  <r>
    <s v="A127"/>
    <x v="74"/>
    <x v="34"/>
    <x v="1"/>
    <x v="2"/>
    <x v="28"/>
    <s v="David Wilson"/>
    <x v="1"/>
    <d v="1993-04-13T00:00:00"/>
    <n v="33"/>
    <s v="31-45 Group"/>
    <x v="3"/>
    <x v="3"/>
    <x v="2"/>
    <n v="21"/>
    <x v="1"/>
    <x v="0"/>
    <x v="0"/>
    <x v="1"/>
  </r>
  <r>
    <s v="A158"/>
    <x v="3"/>
    <x v="18"/>
    <x v="1"/>
    <x v="1"/>
    <x v="18"/>
    <s v="Linda Johnson"/>
    <x v="0"/>
    <d v="1994-02-22T00:00:00"/>
    <n v="32"/>
    <s v="31-45 Group"/>
    <x v="3"/>
    <x v="3"/>
    <x v="2"/>
    <n v="21"/>
    <x v="1"/>
    <x v="0"/>
    <x v="0"/>
    <x v="1"/>
  </r>
  <r>
    <s v="A163"/>
    <x v="75"/>
    <x v="2"/>
    <x v="2"/>
    <x v="2"/>
    <x v="26"/>
    <s v="Jane Wilson"/>
    <x v="1"/>
    <d v="1950-12-12T00:00:00"/>
    <n v="75"/>
    <s v="60+ "/>
    <x v="3"/>
    <x v="3"/>
    <x v="2"/>
    <n v="21"/>
    <x v="1"/>
    <x v="0"/>
    <x v="0"/>
    <x v="1"/>
  </r>
  <r>
    <s v="A166"/>
    <x v="76"/>
    <x v="20"/>
    <x v="2"/>
    <x v="2"/>
    <x v="12"/>
    <s v="David Wilson"/>
    <x v="0"/>
    <d v="1960-06-23T00:00:00"/>
    <n v="66"/>
    <s v="60+ "/>
    <x v="3"/>
    <x v="3"/>
    <x v="2"/>
    <n v="21"/>
    <x v="1"/>
    <x v="0"/>
    <x v="0"/>
    <x v="1"/>
  </r>
  <r>
    <s v="A189"/>
    <x v="77"/>
    <x v="35"/>
    <x v="3"/>
    <x v="0"/>
    <x v="12"/>
    <s v="David Wilson"/>
    <x v="0"/>
    <d v="1960-06-23T00:00:00"/>
    <n v="66"/>
    <s v="60+ "/>
    <x v="3"/>
    <x v="3"/>
    <x v="2"/>
    <n v="21"/>
    <x v="1"/>
    <x v="0"/>
    <x v="0"/>
    <x v="1"/>
  </r>
  <r>
    <s v="A195"/>
    <x v="78"/>
    <x v="9"/>
    <x v="1"/>
    <x v="0"/>
    <x v="23"/>
    <s v="Emily Miller"/>
    <x v="0"/>
    <d v="1983-03-24T00:00:00"/>
    <n v="43"/>
    <s v="31-45 Group"/>
    <x v="3"/>
    <x v="3"/>
    <x v="2"/>
    <n v="21"/>
    <x v="1"/>
    <x v="0"/>
    <x v="0"/>
    <x v="1"/>
  </r>
  <r>
    <s v="A004"/>
    <x v="79"/>
    <x v="36"/>
    <x v="0"/>
    <x v="3"/>
    <x v="25"/>
    <s v="Robert Wilson"/>
    <x v="0"/>
    <d v="1966-08-14T00:00:00"/>
    <n v="60"/>
    <s v="46-60 Group"/>
    <x v="4"/>
    <x v="4"/>
    <x v="1"/>
    <n v="23"/>
    <x v="2"/>
    <x v="1"/>
    <x v="1"/>
    <x v="2"/>
  </r>
  <r>
    <s v="A006"/>
    <x v="80"/>
    <x v="17"/>
    <x v="1"/>
    <x v="0"/>
    <x v="2"/>
    <s v="Linda Miller"/>
    <x v="1"/>
    <d v="1966-04-25T00:00:00"/>
    <n v="60"/>
    <s v="46-60 Group"/>
    <x v="4"/>
    <x v="4"/>
    <x v="1"/>
    <n v="23"/>
    <x v="2"/>
    <x v="1"/>
    <x v="1"/>
    <x v="2"/>
  </r>
  <r>
    <s v="A026"/>
    <x v="81"/>
    <x v="19"/>
    <x v="3"/>
    <x v="3"/>
    <x v="39"/>
    <s v="Michael Taylor"/>
    <x v="1"/>
    <d v="1986-09-01T00:00:00"/>
    <n v="40"/>
    <s v="31-45 Group"/>
    <x v="4"/>
    <x v="4"/>
    <x v="1"/>
    <n v="23"/>
    <x v="2"/>
    <x v="1"/>
    <x v="1"/>
    <x v="2"/>
  </r>
  <r>
    <s v="A028"/>
    <x v="82"/>
    <x v="12"/>
    <x v="1"/>
    <x v="2"/>
    <x v="6"/>
    <s v="Laura Davis"/>
    <x v="1"/>
    <d v="1991-12-08T00:00:00"/>
    <n v="34"/>
    <s v="31-45 Group"/>
    <x v="4"/>
    <x v="4"/>
    <x v="1"/>
    <n v="23"/>
    <x v="2"/>
    <x v="1"/>
    <x v="1"/>
    <x v="2"/>
  </r>
  <r>
    <s v="A031"/>
    <x v="38"/>
    <x v="31"/>
    <x v="1"/>
    <x v="1"/>
    <x v="19"/>
    <s v="John Taylor"/>
    <x v="0"/>
    <d v="2003-11-28T00:00:00"/>
    <n v="22"/>
    <s v="19-30 Group"/>
    <x v="4"/>
    <x v="4"/>
    <x v="1"/>
    <n v="23"/>
    <x v="2"/>
    <x v="1"/>
    <x v="1"/>
    <x v="2"/>
  </r>
  <r>
    <s v="A044"/>
    <x v="83"/>
    <x v="16"/>
    <x v="3"/>
    <x v="1"/>
    <x v="27"/>
    <s v="Robert Miller"/>
    <x v="0"/>
    <d v="1987-01-14T00:00:00"/>
    <n v="39"/>
    <s v="31-45 Group"/>
    <x v="4"/>
    <x v="4"/>
    <x v="1"/>
    <n v="23"/>
    <x v="2"/>
    <x v="1"/>
    <x v="1"/>
    <x v="2"/>
  </r>
  <r>
    <s v="A045"/>
    <x v="84"/>
    <x v="28"/>
    <x v="4"/>
    <x v="0"/>
    <x v="33"/>
    <s v="Michael Taylor"/>
    <x v="0"/>
    <d v="2001-10-13T00:00:00"/>
    <n v="24"/>
    <s v="19-30 Group"/>
    <x v="4"/>
    <x v="4"/>
    <x v="1"/>
    <n v="23"/>
    <x v="2"/>
    <x v="1"/>
    <x v="1"/>
    <x v="2"/>
  </r>
  <r>
    <s v="A051"/>
    <x v="85"/>
    <x v="4"/>
    <x v="1"/>
    <x v="1"/>
    <x v="32"/>
    <s v="Michael Johnson"/>
    <x v="1"/>
    <d v="1981-02-20T00:00:00"/>
    <n v="45"/>
    <s v="31-45 Group"/>
    <x v="4"/>
    <x v="4"/>
    <x v="1"/>
    <n v="23"/>
    <x v="2"/>
    <x v="1"/>
    <x v="1"/>
    <x v="2"/>
  </r>
  <r>
    <s v="A064"/>
    <x v="86"/>
    <x v="34"/>
    <x v="1"/>
    <x v="3"/>
    <x v="28"/>
    <s v="David Wilson"/>
    <x v="1"/>
    <d v="1993-04-13T00:00:00"/>
    <n v="33"/>
    <s v="31-45 Group"/>
    <x v="4"/>
    <x v="4"/>
    <x v="1"/>
    <n v="23"/>
    <x v="2"/>
    <x v="1"/>
    <x v="1"/>
    <x v="2"/>
  </r>
  <r>
    <s v="A071"/>
    <x v="87"/>
    <x v="28"/>
    <x v="3"/>
    <x v="0"/>
    <x v="40"/>
    <s v="David Williams"/>
    <x v="1"/>
    <d v="1955-06-04T00:00:00"/>
    <n v="71"/>
    <s v="60+ "/>
    <x v="4"/>
    <x v="4"/>
    <x v="1"/>
    <n v="23"/>
    <x v="2"/>
    <x v="1"/>
    <x v="1"/>
    <x v="2"/>
  </r>
  <r>
    <s v="A084"/>
    <x v="86"/>
    <x v="29"/>
    <x v="0"/>
    <x v="0"/>
    <x v="28"/>
    <s v="David Wilson"/>
    <x v="1"/>
    <d v="1993-04-13T00:00:00"/>
    <n v="33"/>
    <s v="31-45 Group"/>
    <x v="4"/>
    <x v="4"/>
    <x v="1"/>
    <n v="23"/>
    <x v="2"/>
    <x v="1"/>
    <x v="1"/>
    <x v="2"/>
  </r>
  <r>
    <s v="A091"/>
    <x v="88"/>
    <x v="5"/>
    <x v="4"/>
    <x v="3"/>
    <x v="33"/>
    <s v="Michael Taylor"/>
    <x v="0"/>
    <d v="2001-10-13T00:00:00"/>
    <n v="24"/>
    <s v="19-30 Group"/>
    <x v="4"/>
    <x v="4"/>
    <x v="1"/>
    <n v="23"/>
    <x v="2"/>
    <x v="1"/>
    <x v="1"/>
    <x v="2"/>
  </r>
  <r>
    <s v="A100"/>
    <x v="89"/>
    <x v="1"/>
    <x v="4"/>
    <x v="0"/>
    <x v="9"/>
    <s v="David Smith"/>
    <x v="0"/>
    <d v="2005-05-15T00:00:00"/>
    <n v="21"/>
    <s v="19-30 Group"/>
    <x v="4"/>
    <x v="4"/>
    <x v="1"/>
    <n v="23"/>
    <x v="2"/>
    <x v="1"/>
    <x v="1"/>
    <x v="2"/>
  </r>
  <r>
    <s v="A104"/>
    <x v="45"/>
    <x v="27"/>
    <x v="3"/>
    <x v="1"/>
    <x v="14"/>
    <s v="Michael Wilson"/>
    <x v="0"/>
    <d v="1997-12-26T00:00:00"/>
    <n v="28"/>
    <s v="19-30 Group"/>
    <x v="4"/>
    <x v="4"/>
    <x v="1"/>
    <n v="23"/>
    <x v="2"/>
    <x v="1"/>
    <x v="1"/>
    <x v="2"/>
  </r>
  <r>
    <s v="A129"/>
    <x v="90"/>
    <x v="3"/>
    <x v="1"/>
    <x v="3"/>
    <x v="13"/>
    <s v="Emily Moore"/>
    <x v="0"/>
    <d v="1964-12-23T00:00:00"/>
    <n v="61"/>
    <s v="60+ "/>
    <x v="4"/>
    <x v="4"/>
    <x v="1"/>
    <n v="23"/>
    <x v="2"/>
    <x v="1"/>
    <x v="1"/>
    <x v="2"/>
  </r>
  <r>
    <s v="A130"/>
    <x v="91"/>
    <x v="2"/>
    <x v="4"/>
    <x v="2"/>
    <x v="29"/>
    <s v="Jane Jones"/>
    <x v="0"/>
    <d v="1991-05-01T00:00:00"/>
    <n v="35"/>
    <s v="31-45 Group"/>
    <x v="4"/>
    <x v="4"/>
    <x v="1"/>
    <n v="23"/>
    <x v="2"/>
    <x v="1"/>
    <x v="1"/>
    <x v="2"/>
  </r>
  <r>
    <s v="A134"/>
    <x v="92"/>
    <x v="26"/>
    <x v="0"/>
    <x v="0"/>
    <x v="25"/>
    <s v="Robert Wilson"/>
    <x v="0"/>
    <d v="1966-08-14T00:00:00"/>
    <n v="60"/>
    <s v="46-60 Group"/>
    <x v="4"/>
    <x v="4"/>
    <x v="1"/>
    <n v="23"/>
    <x v="2"/>
    <x v="1"/>
    <x v="1"/>
    <x v="2"/>
  </r>
  <r>
    <s v="A144"/>
    <x v="2"/>
    <x v="18"/>
    <x v="1"/>
    <x v="2"/>
    <x v="36"/>
    <s v="Laura Davis"/>
    <x v="0"/>
    <d v="1971-12-11T00:00:00"/>
    <n v="54"/>
    <s v="46-60 Group"/>
    <x v="4"/>
    <x v="4"/>
    <x v="1"/>
    <n v="23"/>
    <x v="2"/>
    <x v="1"/>
    <x v="1"/>
    <x v="2"/>
  </r>
  <r>
    <s v="A146"/>
    <x v="93"/>
    <x v="3"/>
    <x v="4"/>
    <x v="2"/>
    <x v="38"/>
    <s v="Alex Moore"/>
    <x v="0"/>
    <d v="1993-04-13T00:00:00"/>
    <n v="33"/>
    <s v="31-45 Group"/>
    <x v="4"/>
    <x v="4"/>
    <x v="1"/>
    <n v="23"/>
    <x v="2"/>
    <x v="1"/>
    <x v="1"/>
    <x v="2"/>
  </r>
  <r>
    <s v="A154"/>
    <x v="94"/>
    <x v="32"/>
    <x v="4"/>
    <x v="2"/>
    <x v="6"/>
    <s v="Laura Davis"/>
    <x v="1"/>
    <d v="1991-12-08T00:00:00"/>
    <n v="34"/>
    <s v="31-45 Group"/>
    <x v="4"/>
    <x v="4"/>
    <x v="1"/>
    <n v="23"/>
    <x v="2"/>
    <x v="1"/>
    <x v="1"/>
    <x v="2"/>
  </r>
  <r>
    <s v="A172"/>
    <x v="68"/>
    <x v="17"/>
    <x v="1"/>
    <x v="0"/>
    <x v="21"/>
    <s v="Laura Wilson"/>
    <x v="0"/>
    <d v="1979-09-24T00:00:00"/>
    <n v="46"/>
    <s v="46-60 Group"/>
    <x v="4"/>
    <x v="4"/>
    <x v="1"/>
    <n v="23"/>
    <x v="2"/>
    <x v="1"/>
    <x v="1"/>
    <x v="2"/>
  </r>
  <r>
    <s v="A179"/>
    <x v="95"/>
    <x v="18"/>
    <x v="1"/>
    <x v="1"/>
    <x v="41"/>
    <s v="David Smith"/>
    <x v="0"/>
    <d v="1991-06-25T00:00:00"/>
    <n v="35"/>
    <s v="31-45 Group"/>
    <x v="4"/>
    <x v="4"/>
    <x v="1"/>
    <n v="23"/>
    <x v="2"/>
    <x v="1"/>
    <x v="1"/>
    <x v="2"/>
  </r>
  <r>
    <s v="A196"/>
    <x v="96"/>
    <x v="33"/>
    <x v="1"/>
    <x v="3"/>
    <x v="2"/>
    <s v="Linda Miller"/>
    <x v="1"/>
    <d v="1966-04-25T00:00:00"/>
    <n v="60"/>
    <s v="46-60 Group"/>
    <x v="4"/>
    <x v="4"/>
    <x v="1"/>
    <n v="23"/>
    <x v="2"/>
    <x v="1"/>
    <x v="1"/>
    <x v="2"/>
  </r>
  <r>
    <s v="A198"/>
    <x v="97"/>
    <x v="34"/>
    <x v="2"/>
    <x v="2"/>
    <x v="42"/>
    <s v="John Brown"/>
    <x v="0"/>
    <d v="1955-05-10T00:00:00"/>
    <n v="71"/>
    <s v="60+ "/>
    <x v="4"/>
    <x v="4"/>
    <x v="1"/>
    <n v="23"/>
    <x v="2"/>
    <x v="1"/>
    <x v="1"/>
    <x v="2"/>
  </r>
  <r>
    <s v="A013"/>
    <x v="2"/>
    <x v="37"/>
    <x v="4"/>
    <x v="0"/>
    <x v="31"/>
    <s v="Laura Jones"/>
    <x v="0"/>
    <d v="1977-08-21T00:00:00"/>
    <n v="49"/>
    <s v="46-60 Group"/>
    <x v="5"/>
    <x v="5"/>
    <x v="1"/>
    <n v="24"/>
    <x v="1"/>
    <x v="0"/>
    <x v="0"/>
    <x v="1"/>
  </r>
  <r>
    <s v="A039"/>
    <x v="98"/>
    <x v="1"/>
    <x v="3"/>
    <x v="0"/>
    <x v="18"/>
    <s v="Linda Johnson"/>
    <x v="0"/>
    <d v="1994-02-22T00:00:00"/>
    <n v="32"/>
    <s v="31-45 Group"/>
    <x v="5"/>
    <x v="5"/>
    <x v="1"/>
    <n v="24"/>
    <x v="1"/>
    <x v="0"/>
    <x v="0"/>
    <x v="1"/>
  </r>
  <r>
    <s v="A060"/>
    <x v="10"/>
    <x v="9"/>
    <x v="1"/>
    <x v="2"/>
    <x v="43"/>
    <s v="Jane Moore"/>
    <x v="1"/>
    <d v="2003-06-06T00:00:00"/>
    <n v="23"/>
    <s v="19-30 Group"/>
    <x v="5"/>
    <x v="5"/>
    <x v="1"/>
    <n v="24"/>
    <x v="1"/>
    <x v="0"/>
    <x v="0"/>
    <x v="1"/>
  </r>
  <r>
    <s v="A072"/>
    <x v="99"/>
    <x v="35"/>
    <x v="1"/>
    <x v="0"/>
    <x v="15"/>
    <s v="Michael Wilson"/>
    <x v="1"/>
    <d v="1970-02-06T00:00:00"/>
    <n v="56"/>
    <s v="46-60 Group"/>
    <x v="5"/>
    <x v="5"/>
    <x v="1"/>
    <n v="24"/>
    <x v="1"/>
    <x v="0"/>
    <x v="0"/>
    <x v="1"/>
  </r>
  <r>
    <s v="A076"/>
    <x v="100"/>
    <x v="37"/>
    <x v="2"/>
    <x v="3"/>
    <x v="44"/>
    <s v="Robert Taylor"/>
    <x v="1"/>
    <d v="1976-03-11T00:00:00"/>
    <n v="50"/>
    <s v="46-60 Group"/>
    <x v="5"/>
    <x v="5"/>
    <x v="1"/>
    <n v="24"/>
    <x v="1"/>
    <x v="0"/>
    <x v="0"/>
    <x v="1"/>
  </r>
  <r>
    <s v="A079"/>
    <x v="101"/>
    <x v="14"/>
    <x v="3"/>
    <x v="3"/>
    <x v="6"/>
    <s v="Laura Davis"/>
    <x v="1"/>
    <d v="1991-12-08T00:00:00"/>
    <n v="34"/>
    <s v="31-45 Group"/>
    <x v="5"/>
    <x v="5"/>
    <x v="1"/>
    <n v="24"/>
    <x v="1"/>
    <x v="0"/>
    <x v="0"/>
    <x v="1"/>
  </r>
  <r>
    <s v="A086"/>
    <x v="82"/>
    <x v="0"/>
    <x v="0"/>
    <x v="3"/>
    <x v="29"/>
    <s v="Jane Jones"/>
    <x v="0"/>
    <d v="1991-05-01T00:00:00"/>
    <n v="35"/>
    <s v="31-45 Group"/>
    <x v="5"/>
    <x v="5"/>
    <x v="1"/>
    <n v="24"/>
    <x v="1"/>
    <x v="0"/>
    <x v="0"/>
    <x v="1"/>
  </r>
  <r>
    <s v="A094"/>
    <x v="56"/>
    <x v="27"/>
    <x v="0"/>
    <x v="3"/>
    <x v="45"/>
    <s v="Robert Williams"/>
    <x v="0"/>
    <d v="1951-06-19T00:00:00"/>
    <n v="75"/>
    <s v="60+ "/>
    <x v="5"/>
    <x v="5"/>
    <x v="1"/>
    <n v="24"/>
    <x v="1"/>
    <x v="0"/>
    <x v="0"/>
    <x v="1"/>
  </r>
  <r>
    <s v="A123"/>
    <x v="102"/>
    <x v="7"/>
    <x v="2"/>
    <x v="1"/>
    <x v="1"/>
    <s v="David Moore"/>
    <x v="0"/>
    <d v="1972-11-26T00:00:00"/>
    <n v="53"/>
    <s v="46-60 Group"/>
    <x v="5"/>
    <x v="5"/>
    <x v="1"/>
    <n v="24"/>
    <x v="1"/>
    <x v="0"/>
    <x v="0"/>
    <x v="1"/>
  </r>
  <r>
    <s v="A128"/>
    <x v="67"/>
    <x v="20"/>
    <x v="3"/>
    <x v="1"/>
    <x v="45"/>
    <s v="Robert Williams"/>
    <x v="0"/>
    <d v="1951-06-19T00:00:00"/>
    <n v="75"/>
    <s v="60+ "/>
    <x v="5"/>
    <x v="5"/>
    <x v="1"/>
    <n v="24"/>
    <x v="1"/>
    <x v="0"/>
    <x v="0"/>
    <x v="1"/>
  </r>
  <r>
    <s v="A132"/>
    <x v="103"/>
    <x v="7"/>
    <x v="1"/>
    <x v="3"/>
    <x v="43"/>
    <s v="Jane Moore"/>
    <x v="1"/>
    <d v="2003-06-06T00:00:00"/>
    <n v="23"/>
    <s v="19-30 Group"/>
    <x v="5"/>
    <x v="5"/>
    <x v="1"/>
    <n v="24"/>
    <x v="1"/>
    <x v="0"/>
    <x v="0"/>
    <x v="1"/>
  </r>
  <r>
    <s v="A141"/>
    <x v="104"/>
    <x v="26"/>
    <x v="1"/>
    <x v="1"/>
    <x v="45"/>
    <s v="Robert Williams"/>
    <x v="0"/>
    <d v="1951-06-19T00:00:00"/>
    <n v="75"/>
    <s v="60+ "/>
    <x v="5"/>
    <x v="5"/>
    <x v="1"/>
    <n v="24"/>
    <x v="1"/>
    <x v="0"/>
    <x v="0"/>
    <x v="1"/>
  </r>
  <r>
    <s v="A145"/>
    <x v="105"/>
    <x v="20"/>
    <x v="1"/>
    <x v="0"/>
    <x v="10"/>
    <s v="Alex Johnson"/>
    <x v="1"/>
    <d v="1989-06-08T00:00:00"/>
    <n v="37"/>
    <s v="31-45 Group"/>
    <x v="5"/>
    <x v="5"/>
    <x v="1"/>
    <n v="24"/>
    <x v="1"/>
    <x v="0"/>
    <x v="0"/>
    <x v="1"/>
  </r>
  <r>
    <s v="A147"/>
    <x v="74"/>
    <x v="32"/>
    <x v="4"/>
    <x v="1"/>
    <x v="8"/>
    <s v="Alex Taylor"/>
    <x v="0"/>
    <d v="1968-02-27T00:00:00"/>
    <n v="58"/>
    <s v="46-60 Group"/>
    <x v="5"/>
    <x v="5"/>
    <x v="1"/>
    <n v="24"/>
    <x v="1"/>
    <x v="0"/>
    <x v="0"/>
    <x v="1"/>
  </r>
  <r>
    <s v="A148"/>
    <x v="106"/>
    <x v="34"/>
    <x v="0"/>
    <x v="0"/>
    <x v="27"/>
    <s v="Robert Miller"/>
    <x v="0"/>
    <d v="1987-01-14T00:00:00"/>
    <n v="39"/>
    <s v="31-45 Group"/>
    <x v="5"/>
    <x v="5"/>
    <x v="1"/>
    <n v="24"/>
    <x v="1"/>
    <x v="0"/>
    <x v="0"/>
    <x v="1"/>
  </r>
  <r>
    <s v="A149"/>
    <x v="103"/>
    <x v="16"/>
    <x v="3"/>
    <x v="1"/>
    <x v="24"/>
    <s v="Sarah Miller"/>
    <x v="0"/>
    <d v="1975-05-24T00:00:00"/>
    <n v="51"/>
    <s v="46-60 Group"/>
    <x v="5"/>
    <x v="5"/>
    <x v="1"/>
    <n v="24"/>
    <x v="1"/>
    <x v="0"/>
    <x v="0"/>
    <x v="1"/>
  </r>
  <r>
    <s v="A151"/>
    <x v="107"/>
    <x v="36"/>
    <x v="2"/>
    <x v="0"/>
    <x v="0"/>
    <s v="Michael Taylor"/>
    <x v="0"/>
    <d v="2000-07-22T00:00:00"/>
    <n v="26"/>
    <s v="19-30 Group"/>
    <x v="5"/>
    <x v="5"/>
    <x v="1"/>
    <n v="24"/>
    <x v="1"/>
    <x v="0"/>
    <x v="0"/>
    <x v="1"/>
  </r>
  <r>
    <s v="A171"/>
    <x v="45"/>
    <x v="30"/>
    <x v="3"/>
    <x v="3"/>
    <x v="46"/>
    <s v="Emily Jones"/>
    <x v="1"/>
    <d v="1966-12-04T00:00:00"/>
    <n v="59"/>
    <s v="46-60 Group"/>
    <x v="5"/>
    <x v="5"/>
    <x v="1"/>
    <n v="24"/>
    <x v="1"/>
    <x v="0"/>
    <x v="0"/>
    <x v="1"/>
  </r>
  <r>
    <s v="A174"/>
    <x v="108"/>
    <x v="6"/>
    <x v="3"/>
    <x v="3"/>
    <x v="6"/>
    <s v="Laura Davis"/>
    <x v="1"/>
    <d v="1991-12-08T00:00:00"/>
    <n v="34"/>
    <s v="31-45 Group"/>
    <x v="5"/>
    <x v="5"/>
    <x v="1"/>
    <n v="24"/>
    <x v="1"/>
    <x v="0"/>
    <x v="0"/>
    <x v="1"/>
  </r>
  <r>
    <s v="A188"/>
    <x v="14"/>
    <x v="30"/>
    <x v="3"/>
    <x v="3"/>
    <x v="5"/>
    <s v="Emily Smith"/>
    <x v="1"/>
    <d v="1984-10-12T00:00:00"/>
    <n v="41"/>
    <s v="31-45 Group"/>
    <x v="5"/>
    <x v="5"/>
    <x v="1"/>
    <n v="24"/>
    <x v="1"/>
    <x v="0"/>
    <x v="0"/>
    <x v="1"/>
  </r>
  <r>
    <s v="A194"/>
    <x v="109"/>
    <x v="24"/>
    <x v="2"/>
    <x v="0"/>
    <x v="47"/>
    <s v="David Davis"/>
    <x v="1"/>
    <d v="1976-07-05T00:00:00"/>
    <n v="50"/>
    <s v="46-60 Group"/>
    <x v="5"/>
    <x v="5"/>
    <x v="1"/>
    <n v="24"/>
    <x v="1"/>
    <x v="0"/>
    <x v="0"/>
    <x v="1"/>
  </r>
  <r>
    <s v="A001"/>
    <x v="53"/>
    <x v="26"/>
    <x v="2"/>
    <x v="0"/>
    <x v="20"/>
    <s v="Alex Smith"/>
    <x v="1"/>
    <d v="1950-01-26T00:00:00"/>
    <n v="76"/>
    <s v="60+ "/>
    <x v="6"/>
    <x v="6"/>
    <x v="1"/>
    <n v="26"/>
    <x v="2"/>
    <x v="1"/>
    <x v="1"/>
    <x v="2"/>
  </r>
  <r>
    <s v="A007"/>
    <x v="27"/>
    <x v="31"/>
    <x v="0"/>
    <x v="0"/>
    <x v="40"/>
    <s v="David Williams"/>
    <x v="1"/>
    <d v="1955-06-04T00:00:00"/>
    <n v="71"/>
    <s v="60+ "/>
    <x v="7"/>
    <x v="7"/>
    <x v="2"/>
    <n v="26"/>
    <x v="0"/>
    <x v="0"/>
    <x v="0"/>
    <x v="0"/>
  </r>
  <r>
    <s v="A011"/>
    <x v="110"/>
    <x v="29"/>
    <x v="1"/>
    <x v="2"/>
    <x v="42"/>
    <s v="John Brown"/>
    <x v="0"/>
    <d v="1955-05-10T00:00:00"/>
    <n v="71"/>
    <s v="60+ "/>
    <x v="7"/>
    <x v="7"/>
    <x v="2"/>
    <n v="26"/>
    <x v="0"/>
    <x v="0"/>
    <x v="0"/>
    <x v="0"/>
  </r>
  <r>
    <s v="A017"/>
    <x v="8"/>
    <x v="28"/>
    <x v="4"/>
    <x v="0"/>
    <x v="22"/>
    <s v="Robert Williams"/>
    <x v="0"/>
    <d v="1999-02-05T00:00:00"/>
    <n v="27"/>
    <s v="19-30 Group"/>
    <x v="6"/>
    <x v="6"/>
    <x v="1"/>
    <n v="26"/>
    <x v="2"/>
    <x v="1"/>
    <x v="1"/>
    <x v="2"/>
  </r>
  <r>
    <s v="A018"/>
    <x v="17"/>
    <x v="33"/>
    <x v="0"/>
    <x v="3"/>
    <x v="42"/>
    <s v="John Brown"/>
    <x v="0"/>
    <d v="1955-05-10T00:00:00"/>
    <n v="71"/>
    <s v="60+ "/>
    <x v="7"/>
    <x v="7"/>
    <x v="2"/>
    <n v="26"/>
    <x v="0"/>
    <x v="0"/>
    <x v="0"/>
    <x v="0"/>
  </r>
  <r>
    <s v="A021"/>
    <x v="21"/>
    <x v="23"/>
    <x v="2"/>
    <x v="2"/>
    <x v="38"/>
    <s v="Alex Moore"/>
    <x v="0"/>
    <d v="1993-04-13T00:00:00"/>
    <n v="33"/>
    <s v="31-45 Group"/>
    <x v="6"/>
    <x v="6"/>
    <x v="1"/>
    <n v="26"/>
    <x v="2"/>
    <x v="1"/>
    <x v="1"/>
    <x v="2"/>
  </r>
  <r>
    <s v="A023"/>
    <x v="5"/>
    <x v="8"/>
    <x v="3"/>
    <x v="3"/>
    <x v="35"/>
    <s v="Jane Moore"/>
    <x v="0"/>
    <d v="1995-12-13T00:00:00"/>
    <n v="30"/>
    <s v="19-30 Group"/>
    <x v="6"/>
    <x v="6"/>
    <x v="1"/>
    <n v="26"/>
    <x v="2"/>
    <x v="1"/>
    <x v="1"/>
    <x v="2"/>
  </r>
  <r>
    <s v="A027"/>
    <x v="17"/>
    <x v="24"/>
    <x v="2"/>
    <x v="0"/>
    <x v="12"/>
    <s v="David Wilson"/>
    <x v="0"/>
    <d v="1960-06-23T00:00:00"/>
    <n v="66"/>
    <s v="60+ "/>
    <x v="8"/>
    <x v="8"/>
    <x v="0"/>
    <n v="26"/>
    <x v="2"/>
    <x v="1"/>
    <x v="1"/>
    <x v="2"/>
  </r>
  <r>
    <s v="A030"/>
    <x v="111"/>
    <x v="5"/>
    <x v="1"/>
    <x v="1"/>
    <x v="19"/>
    <s v="John Taylor"/>
    <x v="0"/>
    <d v="2003-11-28T00:00:00"/>
    <n v="22"/>
    <s v="19-30 Group"/>
    <x v="8"/>
    <x v="8"/>
    <x v="0"/>
    <n v="26"/>
    <x v="2"/>
    <x v="1"/>
    <x v="1"/>
    <x v="2"/>
  </r>
  <r>
    <s v="A032"/>
    <x v="112"/>
    <x v="7"/>
    <x v="1"/>
    <x v="0"/>
    <x v="23"/>
    <s v="Emily Miller"/>
    <x v="0"/>
    <d v="1983-03-24T00:00:00"/>
    <n v="43"/>
    <s v="31-45 Group"/>
    <x v="8"/>
    <x v="8"/>
    <x v="0"/>
    <n v="26"/>
    <x v="2"/>
    <x v="1"/>
    <x v="1"/>
    <x v="2"/>
  </r>
  <r>
    <s v="A033"/>
    <x v="113"/>
    <x v="11"/>
    <x v="2"/>
    <x v="2"/>
    <x v="7"/>
    <s v="Michael Wilson"/>
    <x v="0"/>
    <d v="2002-03-01T00:00:00"/>
    <n v="24"/>
    <s v="19-30 Group"/>
    <x v="8"/>
    <x v="8"/>
    <x v="0"/>
    <n v="26"/>
    <x v="2"/>
    <x v="1"/>
    <x v="1"/>
    <x v="2"/>
  </r>
  <r>
    <s v="A038"/>
    <x v="91"/>
    <x v="13"/>
    <x v="0"/>
    <x v="0"/>
    <x v="22"/>
    <s v="Robert Williams"/>
    <x v="0"/>
    <d v="1999-02-05T00:00:00"/>
    <n v="27"/>
    <s v="19-30 Group"/>
    <x v="6"/>
    <x v="6"/>
    <x v="1"/>
    <n v="26"/>
    <x v="2"/>
    <x v="1"/>
    <x v="1"/>
    <x v="2"/>
  </r>
  <r>
    <s v="A040"/>
    <x v="58"/>
    <x v="16"/>
    <x v="2"/>
    <x v="1"/>
    <x v="33"/>
    <s v="Michael Taylor"/>
    <x v="0"/>
    <d v="2001-10-13T00:00:00"/>
    <n v="24"/>
    <s v="19-30 Group"/>
    <x v="6"/>
    <x v="6"/>
    <x v="1"/>
    <n v="26"/>
    <x v="2"/>
    <x v="1"/>
    <x v="1"/>
    <x v="2"/>
  </r>
  <r>
    <s v="A043"/>
    <x v="114"/>
    <x v="36"/>
    <x v="0"/>
    <x v="2"/>
    <x v="20"/>
    <s v="Alex Smith"/>
    <x v="1"/>
    <d v="1950-01-26T00:00:00"/>
    <n v="76"/>
    <s v="60+ "/>
    <x v="8"/>
    <x v="8"/>
    <x v="0"/>
    <n v="26"/>
    <x v="2"/>
    <x v="1"/>
    <x v="1"/>
    <x v="2"/>
  </r>
  <r>
    <s v="A047"/>
    <x v="115"/>
    <x v="0"/>
    <x v="2"/>
    <x v="1"/>
    <x v="3"/>
    <s v="Alex Moore"/>
    <x v="0"/>
    <d v="1981-01-08T00:00:00"/>
    <n v="45"/>
    <s v="31-45 Group"/>
    <x v="7"/>
    <x v="7"/>
    <x v="2"/>
    <n v="26"/>
    <x v="0"/>
    <x v="0"/>
    <x v="0"/>
    <x v="0"/>
  </r>
  <r>
    <s v="A048"/>
    <x v="116"/>
    <x v="15"/>
    <x v="4"/>
    <x v="3"/>
    <x v="40"/>
    <s v="David Williams"/>
    <x v="1"/>
    <d v="1955-06-04T00:00:00"/>
    <n v="71"/>
    <s v="60+ "/>
    <x v="6"/>
    <x v="6"/>
    <x v="1"/>
    <n v="26"/>
    <x v="2"/>
    <x v="1"/>
    <x v="1"/>
    <x v="2"/>
  </r>
  <r>
    <s v="A053"/>
    <x v="117"/>
    <x v="31"/>
    <x v="1"/>
    <x v="3"/>
    <x v="34"/>
    <s v="Sarah Brown"/>
    <x v="1"/>
    <d v="1991-11-04T00:00:00"/>
    <n v="34"/>
    <s v="31-45 Group"/>
    <x v="8"/>
    <x v="8"/>
    <x v="0"/>
    <n v="26"/>
    <x v="2"/>
    <x v="1"/>
    <x v="1"/>
    <x v="2"/>
  </r>
  <r>
    <s v="A061"/>
    <x v="118"/>
    <x v="28"/>
    <x v="2"/>
    <x v="2"/>
    <x v="34"/>
    <s v="Sarah Brown"/>
    <x v="1"/>
    <d v="1991-11-04T00:00:00"/>
    <n v="34"/>
    <s v="31-45 Group"/>
    <x v="8"/>
    <x v="8"/>
    <x v="0"/>
    <n v="26"/>
    <x v="2"/>
    <x v="1"/>
    <x v="1"/>
    <x v="2"/>
  </r>
  <r>
    <s v="A062"/>
    <x v="119"/>
    <x v="26"/>
    <x v="1"/>
    <x v="2"/>
    <x v="6"/>
    <s v="Laura Davis"/>
    <x v="1"/>
    <d v="1991-12-08T00:00:00"/>
    <n v="34"/>
    <s v="31-45 Group"/>
    <x v="6"/>
    <x v="6"/>
    <x v="1"/>
    <n v="26"/>
    <x v="2"/>
    <x v="1"/>
    <x v="1"/>
    <x v="2"/>
  </r>
  <r>
    <s v="A066"/>
    <x v="120"/>
    <x v="4"/>
    <x v="0"/>
    <x v="2"/>
    <x v="15"/>
    <s v="Michael Wilson"/>
    <x v="1"/>
    <d v="1970-02-06T00:00:00"/>
    <n v="56"/>
    <s v="46-60 Group"/>
    <x v="6"/>
    <x v="6"/>
    <x v="1"/>
    <n v="26"/>
    <x v="2"/>
    <x v="1"/>
    <x v="1"/>
    <x v="2"/>
  </r>
  <r>
    <s v="A068"/>
    <x v="121"/>
    <x v="2"/>
    <x v="1"/>
    <x v="0"/>
    <x v="22"/>
    <s v="Robert Williams"/>
    <x v="0"/>
    <d v="1999-02-05T00:00:00"/>
    <n v="27"/>
    <s v="19-30 Group"/>
    <x v="8"/>
    <x v="8"/>
    <x v="0"/>
    <n v="26"/>
    <x v="2"/>
    <x v="1"/>
    <x v="1"/>
    <x v="2"/>
  </r>
  <r>
    <s v="A074"/>
    <x v="122"/>
    <x v="35"/>
    <x v="2"/>
    <x v="2"/>
    <x v="33"/>
    <s v="Michael Taylor"/>
    <x v="0"/>
    <d v="2001-10-13T00:00:00"/>
    <n v="24"/>
    <s v="19-30 Group"/>
    <x v="8"/>
    <x v="8"/>
    <x v="0"/>
    <n v="26"/>
    <x v="2"/>
    <x v="1"/>
    <x v="1"/>
    <x v="2"/>
  </r>
  <r>
    <s v="A075"/>
    <x v="123"/>
    <x v="14"/>
    <x v="3"/>
    <x v="3"/>
    <x v="16"/>
    <s v="Linda Brown"/>
    <x v="0"/>
    <d v="1980-03-25T00:00:00"/>
    <n v="46"/>
    <s v="46-60 Group"/>
    <x v="6"/>
    <x v="6"/>
    <x v="1"/>
    <n v="26"/>
    <x v="2"/>
    <x v="1"/>
    <x v="1"/>
    <x v="2"/>
  </r>
  <r>
    <s v="A080"/>
    <x v="124"/>
    <x v="34"/>
    <x v="0"/>
    <x v="0"/>
    <x v="27"/>
    <s v="Robert Miller"/>
    <x v="0"/>
    <d v="1987-01-14T00:00:00"/>
    <n v="39"/>
    <s v="31-45 Group"/>
    <x v="8"/>
    <x v="8"/>
    <x v="0"/>
    <n v="26"/>
    <x v="2"/>
    <x v="1"/>
    <x v="1"/>
    <x v="2"/>
  </r>
  <r>
    <s v="A081"/>
    <x v="125"/>
    <x v="35"/>
    <x v="2"/>
    <x v="3"/>
    <x v="39"/>
    <s v="Michael Taylor"/>
    <x v="1"/>
    <d v="1986-09-01T00:00:00"/>
    <n v="40"/>
    <s v="31-45 Group"/>
    <x v="7"/>
    <x v="7"/>
    <x v="2"/>
    <n v="26"/>
    <x v="0"/>
    <x v="0"/>
    <x v="0"/>
    <x v="0"/>
  </r>
  <r>
    <s v="A088"/>
    <x v="115"/>
    <x v="30"/>
    <x v="1"/>
    <x v="1"/>
    <x v="47"/>
    <s v="David Davis"/>
    <x v="1"/>
    <d v="1976-07-05T00:00:00"/>
    <n v="50"/>
    <s v="46-60 Group"/>
    <x v="8"/>
    <x v="8"/>
    <x v="0"/>
    <n v="26"/>
    <x v="2"/>
    <x v="1"/>
    <x v="1"/>
    <x v="2"/>
  </r>
  <r>
    <s v="A090"/>
    <x v="126"/>
    <x v="32"/>
    <x v="4"/>
    <x v="2"/>
    <x v="19"/>
    <s v="John Taylor"/>
    <x v="0"/>
    <d v="2003-11-28T00:00:00"/>
    <n v="22"/>
    <s v="19-30 Group"/>
    <x v="6"/>
    <x v="6"/>
    <x v="1"/>
    <n v="26"/>
    <x v="2"/>
    <x v="1"/>
    <x v="1"/>
    <x v="2"/>
  </r>
  <r>
    <s v="A095"/>
    <x v="5"/>
    <x v="38"/>
    <x v="2"/>
    <x v="3"/>
    <x v="10"/>
    <s v="Alex Johnson"/>
    <x v="1"/>
    <d v="1989-06-08T00:00:00"/>
    <n v="37"/>
    <s v="31-45 Group"/>
    <x v="6"/>
    <x v="6"/>
    <x v="1"/>
    <n v="26"/>
    <x v="2"/>
    <x v="1"/>
    <x v="1"/>
    <x v="2"/>
  </r>
  <r>
    <s v="A098"/>
    <x v="81"/>
    <x v="13"/>
    <x v="4"/>
    <x v="1"/>
    <x v="2"/>
    <s v="Linda Miller"/>
    <x v="1"/>
    <d v="1966-04-25T00:00:00"/>
    <n v="60"/>
    <s v="46-60 Group"/>
    <x v="8"/>
    <x v="8"/>
    <x v="0"/>
    <n v="26"/>
    <x v="2"/>
    <x v="1"/>
    <x v="1"/>
    <x v="2"/>
  </r>
  <r>
    <s v="A099"/>
    <x v="127"/>
    <x v="2"/>
    <x v="1"/>
    <x v="1"/>
    <x v="46"/>
    <s v="Emily Jones"/>
    <x v="1"/>
    <d v="1966-12-04T00:00:00"/>
    <n v="59"/>
    <s v="46-60 Group"/>
    <x v="7"/>
    <x v="7"/>
    <x v="2"/>
    <n v="26"/>
    <x v="0"/>
    <x v="0"/>
    <x v="0"/>
    <x v="0"/>
  </r>
  <r>
    <s v="A102"/>
    <x v="35"/>
    <x v="21"/>
    <x v="1"/>
    <x v="2"/>
    <x v="25"/>
    <s v="Robert Wilson"/>
    <x v="0"/>
    <d v="1966-08-14T00:00:00"/>
    <n v="60"/>
    <s v="46-60 Group"/>
    <x v="8"/>
    <x v="8"/>
    <x v="0"/>
    <n v="26"/>
    <x v="2"/>
    <x v="1"/>
    <x v="1"/>
    <x v="2"/>
  </r>
  <r>
    <s v="A103"/>
    <x v="128"/>
    <x v="34"/>
    <x v="2"/>
    <x v="3"/>
    <x v="7"/>
    <s v="Michael Wilson"/>
    <x v="0"/>
    <d v="2002-03-01T00:00:00"/>
    <n v="24"/>
    <s v="19-30 Group"/>
    <x v="8"/>
    <x v="8"/>
    <x v="0"/>
    <n v="26"/>
    <x v="2"/>
    <x v="1"/>
    <x v="1"/>
    <x v="2"/>
  </r>
  <r>
    <s v="A106"/>
    <x v="82"/>
    <x v="6"/>
    <x v="2"/>
    <x v="0"/>
    <x v="22"/>
    <s v="Robert Williams"/>
    <x v="0"/>
    <d v="1999-02-05T00:00:00"/>
    <n v="27"/>
    <s v="19-30 Group"/>
    <x v="8"/>
    <x v="8"/>
    <x v="0"/>
    <n v="26"/>
    <x v="2"/>
    <x v="1"/>
    <x v="1"/>
    <x v="2"/>
  </r>
  <r>
    <s v="A107"/>
    <x v="98"/>
    <x v="22"/>
    <x v="3"/>
    <x v="1"/>
    <x v="36"/>
    <s v="Laura Davis"/>
    <x v="0"/>
    <d v="1971-12-11T00:00:00"/>
    <n v="54"/>
    <s v="46-60 Group"/>
    <x v="7"/>
    <x v="7"/>
    <x v="2"/>
    <n v="26"/>
    <x v="0"/>
    <x v="0"/>
    <x v="0"/>
    <x v="0"/>
  </r>
  <r>
    <s v="A108"/>
    <x v="129"/>
    <x v="2"/>
    <x v="4"/>
    <x v="3"/>
    <x v="34"/>
    <s v="Sarah Brown"/>
    <x v="1"/>
    <d v="1991-11-04T00:00:00"/>
    <n v="34"/>
    <s v="31-45 Group"/>
    <x v="8"/>
    <x v="8"/>
    <x v="0"/>
    <n v="26"/>
    <x v="2"/>
    <x v="1"/>
    <x v="1"/>
    <x v="2"/>
  </r>
  <r>
    <s v="A109"/>
    <x v="130"/>
    <x v="14"/>
    <x v="3"/>
    <x v="0"/>
    <x v="28"/>
    <s v="David Wilson"/>
    <x v="1"/>
    <d v="1993-04-13T00:00:00"/>
    <n v="33"/>
    <s v="31-45 Group"/>
    <x v="8"/>
    <x v="8"/>
    <x v="0"/>
    <n v="26"/>
    <x v="2"/>
    <x v="1"/>
    <x v="1"/>
    <x v="2"/>
  </r>
  <r>
    <s v="A110"/>
    <x v="131"/>
    <x v="8"/>
    <x v="0"/>
    <x v="0"/>
    <x v="1"/>
    <s v="David Moore"/>
    <x v="0"/>
    <d v="1972-11-26T00:00:00"/>
    <n v="53"/>
    <s v="46-60 Group"/>
    <x v="8"/>
    <x v="8"/>
    <x v="0"/>
    <n v="26"/>
    <x v="2"/>
    <x v="1"/>
    <x v="1"/>
    <x v="2"/>
  </r>
  <r>
    <s v="A115"/>
    <x v="35"/>
    <x v="31"/>
    <x v="2"/>
    <x v="2"/>
    <x v="1"/>
    <s v="David Moore"/>
    <x v="0"/>
    <d v="1972-11-26T00:00:00"/>
    <n v="53"/>
    <s v="46-60 Group"/>
    <x v="8"/>
    <x v="8"/>
    <x v="0"/>
    <n v="26"/>
    <x v="2"/>
    <x v="1"/>
    <x v="1"/>
    <x v="2"/>
  </r>
  <r>
    <s v="A116"/>
    <x v="50"/>
    <x v="36"/>
    <x v="3"/>
    <x v="2"/>
    <x v="26"/>
    <s v="Jane Wilson"/>
    <x v="1"/>
    <d v="1950-12-12T00:00:00"/>
    <n v="75"/>
    <s v="60+ "/>
    <x v="6"/>
    <x v="6"/>
    <x v="1"/>
    <n v="26"/>
    <x v="2"/>
    <x v="1"/>
    <x v="1"/>
    <x v="2"/>
  </r>
  <r>
    <s v="A125"/>
    <x v="24"/>
    <x v="38"/>
    <x v="1"/>
    <x v="1"/>
    <x v="18"/>
    <s v="Linda Johnson"/>
    <x v="0"/>
    <d v="1994-02-22T00:00:00"/>
    <n v="32"/>
    <s v="31-45 Group"/>
    <x v="7"/>
    <x v="7"/>
    <x v="2"/>
    <n v="26"/>
    <x v="0"/>
    <x v="0"/>
    <x v="0"/>
    <x v="0"/>
  </r>
  <r>
    <s v="A135"/>
    <x v="132"/>
    <x v="30"/>
    <x v="2"/>
    <x v="0"/>
    <x v="42"/>
    <s v="John Brown"/>
    <x v="0"/>
    <d v="1955-05-10T00:00:00"/>
    <n v="71"/>
    <s v="60+ "/>
    <x v="8"/>
    <x v="8"/>
    <x v="0"/>
    <n v="26"/>
    <x v="2"/>
    <x v="1"/>
    <x v="1"/>
    <x v="2"/>
  </r>
  <r>
    <s v="A136"/>
    <x v="133"/>
    <x v="16"/>
    <x v="3"/>
    <x v="1"/>
    <x v="4"/>
    <s v="Laura Johnson"/>
    <x v="1"/>
    <d v="1990-03-28T00:00:00"/>
    <n v="36"/>
    <s v="31-45 Group"/>
    <x v="6"/>
    <x v="6"/>
    <x v="1"/>
    <n v="26"/>
    <x v="2"/>
    <x v="1"/>
    <x v="1"/>
    <x v="2"/>
  </r>
  <r>
    <s v="A138"/>
    <x v="101"/>
    <x v="26"/>
    <x v="3"/>
    <x v="2"/>
    <x v="1"/>
    <s v="David Moore"/>
    <x v="0"/>
    <d v="1972-11-26T00:00:00"/>
    <n v="53"/>
    <s v="46-60 Group"/>
    <x v="7"/>
    <x v="7"/>
    <x v="2"/>
    <n v="26"/>
    <x v="0"/>
    <x v="0"/>
    <x v="0"/>
    <x v="0"/>
  </r>
  <r>
    <s v="A139"/>
    <x v="134"/>
    <x v="7"/>
    <x v="2"/>
    <x v="2"/>
    <x v="14"/>
    <s v="Michael Wilson"/>
    <x v="0"/>
    <d v="1997-12-26T00:00:00"/>
    <n v="28"/>
    <s v="19-30 Group"/>
    <x v="8"/>
    <x v="8"/>
    <x v="0"/>
    <n v="26"/>
    <x v="2"/>
    <x v="1"/>
    <x v="1"/>
    <x v="2"/>
  </r>
  <r>
    <s v="A140"/>
    <x v="135"/>
    <x v="26"/>
    <x v="1"/>
    <x v="2"/>
    <x v="6"/>
    <s v="Laura Davis"/>
    <x v="1"/>
    <d v="1991-12-08T00:00:00"/>
    <n v="34"/>
    <s v="31-45 Group"/>
    <x v="8"/>
    <x v="8"/>
    <x v="0"/>
    <n v="26"/>
    <x v="2"/>
    <x v="1"/>
    <x v="1"/>
    <x v="2"/>
  </r>
  <r>
    <s v="A143"/>
    <x v="29"/>
    <x v="18"/>
    <x v="1"/>
    <x v="3"/>
    <x v="6"/>
    <s v="Laura Davis"/>
    <x v="1"/>
    <d v="1991-12-08T00:00:00"/>
    <n v="34"/>
    <s v="31-45 Group"/>
    <x v="7"/>
    <x v="7"/>
    <x v="2"/>
    <n v="26"/>
    <x v="0"/>
    <x v="0"/>
    <x v="0"/>
    <x v="0"/>
  </r>
  <r>
    <s v="A153"/>
    <x v="136"/>
    <x v="24"/>
    <x v="0"/>
    <x v="1"/>
    <x v="28"/>
    <s v="David Wilson"/>
    <x v="1"/>
    <d v="1993-04-13T00:00:00"/>
    <n v="33"/>
    <s v="31-45 Group"/>
    <x v="6"/>
    <x v="6"/>
    <x v="1"/>
    <n v="26"/>
    <x v="2"/>
    <x v="1"/>
    <x v="1"/>
    <x v="2"/>
  </r>
  <r>
    <s v="A157"/>
    <x v="137"/>
    <x v="0"/>
    <x v="3"/>
    <x v="1"/>
    <x v="14"/>
    <s v="Michael Wilson"/>
    <x v="0"/>
    <d v="1997-12-26T00:00:00"/>
    <n v="28"/>
    <s v="19-30 Group"/>
    <x v="7"/>
    <x v="7"/>
    <x v="2"/>
    <n v="26"/>
    <x v="0"/>
    <x v="0"/>
    <x v="0"/>
    <x v="0"/>
  </r>
  <r>
    <s v="A161"/>
    <x v="138"/>
    <x v="7"/>
    <x v="0"/>
    <x v="0"/>
    <x v="2"/>
    <s v="Linda Miller"/>
    <x v="1"/>
    <d v="1966-04-25T00:00:00"/>
    <n v="60"/>
    <s v="46-60 Group"/>
    <x v="8"/>
    <x v="8"/>
    <x v="0"/>
    <n v="26"/>
    <x v="2"/>
    <x v="1"/>
    <x v="1"/>
    <x v="2"/>
  </r>
  <r>
    <s v="A170"/>
    <x v="139"/>
    <x v="21"/>
    <x v="1"/>
    <x v="0"/>
    <x v="16"/>
    <s v="Linda Brown"/>
    <x v="0"/>
    <d v="1980-03-25T00:00:00"/>
    <n v="46"/>
    <s v="46-60 Group"/>
    <x v="8"/>
    <x v="8"/>
    <x v="0"/>
    <n v="26"/>
    <x v="2"/>
    <x v="1"/>
    <x v="1"/>
    <x v="2"/>
  </r>
  <r>
    <s v="A173"/>
    <x v="140"/>
    <x v="35"/>
    <x v="1"/>
    <x v="1"/>
    <x v="35"/>
    <s v="Jane Moore"/>
    <x v="0"/>
    <d v="1995-12-13T00:00:00"/>
    <n v="30"/>
    <s v="19-30 Group"/>
    <x v="8"/>
    <x v="8"/>
    <x v="0"/>
    <n v="26"/>
    <x v="2"/>
    <x v="1"/>
    <x v="1"/>
    <x v="2"/>
  </r>
  <r>
    <s v="A176"/>
    <x v="141"/>
    <x v="3"/>
    <x v="2"/>
    <x v="2"/>
    <x v="33"/>
    <s v="Michael Taylor"/>
    <x v="0"/>
    <d v="2001-10-13T00:00:00"/>
    <n v="24"/>
    <s v="19-30 Group"/>
    <x v="6"/>
    <x v="6"/>
    <x v="1"/>
    <n v="26"/>
    <x v="2"/>
    <x v="1"/>
    <x v="1"/>
    <x v="2"/>
  </r>
  <r>
    <s v="A177"/>
    <x v="2"/>
    <x v="16"/>
    <x v="2"/>
    <x v="3"/>
    <x v="44"/>
    <s v="Robert Taylor"/>
    <x v="1"/>
    <d v="1976-03-11T00:00:00"/>
    <n v="50"/>
    <s v="46-60 Group"/>
    <x v="7"/>
    <x v="7"/>
    <x v="2"/>
    <n v="26"/>
    <x v="0"/>
    <x v="0"/>
    <x v="0"/>
    <x v="0"/>
  </r>
  <r>
    <s v="A178"/>
    <x v="142"/>
    <x v="5"/>
    <x v="1"/>
    <x v="3"/>
    <x v="29"/>
    <s v="Jane Jones"/>
    <x v="0"/>
    <d v="1991-05-01T00:00:00"/>
    <n v="35"/>
    <s v="31-45 Group"/>
    <x v="7"/>
    <x v="7"/>
    <x v="2"/>
    <n v="26"/>
    <x v="0"/>
    <x v="0"/>
    <x v="0"/>
    <x v="0"/>
  </r>
  <r>
    <s v="A185"/>
    <x v="20"/>
    <x v="14"/>
    <x v="0"/>
    <x v="0"/>
    <x v="36"/>
    <s v="Laura Davis"/>
    <x v="0"/>
    <d v="1971-12-11T00:00:00"/>
    <n v="54"/>
    <s v="46-60 Group"/>
    <x v="6"/>
    <x v="6"/>
    <x v="1"/>
    <n v="26"/>
    <x v="2"/>
    <x v="1"/>
    <x v="1"/>
    <x v="2"/>
  </r>
  <r>
    <s v="A192"/>
    <x v="143"/>
    <x v="19"/>
    <x v="0"/>
    <x v="3"/>
    <x v="41"/>
    <s v="David Smith"/>
    <x v="0"/>
    <d v="1991-06-25T00:00:00"/>
    <n v="35"/>
    <s v="31-45 Group"/>
    <x v="8"/>
    <x v="8"/>
    <x v="0"/>
    <n v="26"/>
    <x v="2"/>
    <x v="1"/>
    <x v="1"/>
    <x v="2"/>
  </r>
  <r>
    <s v="A193"/>
    <x v="144"/>
    <x v="25"/>
    <x v="2"/>
    <x v="3"/>
    <x v="24"/>
    <s v="Sarah Miller"/>
    <x v="0"/>
    <d v="1975-05-24T00:00:00"/>
    <n v="51"/>
    <s v="46-60 Group"/>
    <x v="8"/>
    <x v="8"/>
    <x v="0"/>
    <n v="26"/>
    <x v="2"/>
    <x v="1"/>
    <x v="1"/>
    <x v="2"/>
  </r>
  <r>
    <s v="A197"/>
    <x v="145"/>
    <x v="35"/>
    <x v="4"/>
    <x v="2"/>
    <x v="40"/>
    <s v="David Williams"/>
    <x v="1"/>
    <d v="1955-06-04T00:00:00"/>
    <n v="71"/>
    <s v="60+ "/>
    <x v="8"/>
    <x v="8"/>
    <x v="0"/>
    <n v="26"/>
    <x v="2"/>
    <x v="1"/>
    <x v="1"/>
    <x v="2"/>
  </r>
  <r>
    <s v="A200"/>
    <x v="146"/>
    <x v="38"/>
    <x v="0"/>
    <x v="3"/>
    <x v="10"/>
    <s v="Alex Johnson"/>
    <x v="1"/>
    <d v="1989-06-08T00:00:00"/>
    <n v="37"/>
    <s v="31-45 Group"/>
    <x v="8"/>
    <x v="8"/>
    <x v="0"/>
    <n v="26"/>
    <x v="2"/>
    <x v="1"/>
    <x v="1"/>
    <x v="2"/>
  </r>
  <r>
    <s v="A002"/>
    <x v="147"/>
    <x v="8"/>
    <x v="2"/>
    <x v="2"/>
    <x v="3"/>
    <s v="Alex Moore"/>
    <x v="0"/>
    <d v="1981-01-08T00:00:00"/>
    <n v="45"/>
    <s v="31-45 Group"/>
    <x v="9"/>
    <x v="9"/>
    <x v="1"/>
    <n v="28"/>
    <x v="2"/>
    <x v="1"/>
    <x v="1"/>
    <x v="2"/>
  </r>
  <r>
    <s v="A003"/>
    <x v="148"/>
    <x v="1"/>
    <x v="0"/>
    <x v="3"/>
    <x v="23"/>
    <s v="Emily Miller"/>
    <x v="0"/>
    <d v="1983-03-24T00:00:00"/>
    <n v="43"/>
    <s v="31-45 Group"/>
    <x v="9"/>
    <x v="9"/>
    <x v="1"/>
    <n v="28"/>
    <x v="2"/>
    <x v="1"/>
    <x v="1"/>
    <x v="2"/>
  </r>
  <r>
    <s v="A015"/>
    <x v="118"/>
    <x v="9"/>
    <x v="0"/>
    <x v="2"/>
    <x v="19"/>
    <s v="John Taylor"/>
    <x v="0"/>
    <d v="2003-11-28T00:00:00"/>
    <n v="22"/>
    <s v="19-30 Group"/>
    <x v="9"/>
    <x v="9"/>
    <x v="1"/>
    <n v="28"/>
    <x v="2"/>
    <x v="1"/>
    <x v="1"/>
    <x v="2"/>
  </r>
  <r>
    <s v="A034"/>
    <x v="149"/>
    <x v="39"/>
    <x v="0"/>
    <x v="2"/>
    <x v="26"/>
    <s v="Jane Wilson"/>
    <x v="1"/>
    <d v="1950-12-12T00:00:00"/>
    <n v="75"/>
    <s v="60+ "/>
    <x v="9"/>
    <x v="9"/>
    <x v="1"/>
    <n v="28"/>
    <x v="2"/>
    <x v="1"/>
    <x v="1"/>
    <x v="2"/>
  </r>
  <r>
    <s v="A037"/>
    <x v="150"/>
    <x v="0"/>
    <x v="0"/>
    <x v="0"/>
    <x v="13"/>
    <s v="Emily Moore"/>
    <x v="0"/>
    <d v="1964-12-23T00:00:00"/>
    <n v="61"/>
    <s v="60+ "/>
    <x v="9"/>
    <x v="9"/>
    <x v="1"/>
    <n v="28"/>
    <x v="2"/>
    <x v="1"/>
    <x v="1"/>
    <x v="2"/>
  </r>
  <r>
    <s v="A056"/>
    <x v="151"/>
    <x v="24"/>
    <x v="1"/>
    <x v="0"/>
    <x v="1"/>
    <s v="David Moore"/>
    <x v="0"/>
    <d v="1972-11-26T00:00:00"/>
    <n v="53"/>
    <s v="46-60 Group"/>
    <x v="9"/>
    <x v="9"/>
    <x v="1"/>
    <n v="28"/>
    <x v="2"/>
    <x v="1"/>
    <x v="1"/>
    <x v="2"/>
  </r>
  <r>
    <s v="A063"/>
    <x v="152"/>
    <x v="21"/>
    <x v="3"/>
    <x v="0"/>
    <x v="17"/>
    <s v="Laura Wilson"/>
    <x v="0"/>
    <d v="1993-12-27T00:00:00"/>
    <n v="32"/>
    <s v="31-45 Group"/>
    <x v="9"/>
    <x v="9"/>
    <x v="1"/>
    <n v="28"/>
    <x v="2"/>
    <x v="1"/>
    <x v="1"/>
    <x v="2"/>
  </r>
  <r>
    <s v="A069"/>
    <x v="114"/>
    <x v="12"/>
    <x v="2"/>
    <x v="3"/>
    <x v="6"/>
    <s v="Laura Davis"/>
    <x v="1"/>
    <d v="1991-12-08T00:00:00"/>
    <n v="34"/>
    <s v="31-45 Group"/>
    <x v="9"/>
    <x v="9"/>
    <x v="1"/>
    <n v="28"/>
    <x v="2"/>
    <x v="1"/>
    <x v="1"/>
    <x v="2"/>
  </r>
  <r>
    <s v="A119"/>
    <x v="153"/>
    <x v="35"/>
    <x v="4"/>
    <x v="3"/>
    <x v="18"/>
    <s v="Linda Johnson"/>
    <x v="0"/>
    <d v="1994-02-22T00:00:00"/>
    <n v="32"/>
    <s v="31-45 Group"/>
    <x v="9"/>
    <x v="9"/>
    <x v="1"/>
    <n v="28"/>
    <x v="2"/>
    <x v="1"/>
    <x v="1"/>
    <x v="2"/>
  </r>
  <r>
    <s v="A152"/>
    <x v="154"/>
    <x v="34"/>
    <x v="2"/>
    <x v="1"/>
    <x v="12"/>
    <s v="David Wilson"/>
    <x v="0"/>
    <d v="1960-06-23T00:00:00"/>
    <n v="66"/>
    <s v="60+ "/>
    <x v="9"/>
    <x v="9"/>
    <x v="1"/>
    <n v="28"/>
    <x v="2"/>
    <x v="1"/>
    <x v="1"/>
    <x v="2"/>
  </r>
  <r>
    <s v="A162"/>
    <x v="19"/>
    <x v="9"/>
    <x v="4"/>
    <x v="2"/>
    <x v="11"/>
    <s v="Jane Smith"/>
    <x v="1"/>
    <d v="1954-08-22T00:00:00"/>
    <n v="72"/>
    <s v="60+ "/>
    <x v="9"/>
    <x v="9"/>
    <x v="1"/>
    <n v="28"/>
    <x v="2"/>
    <x v="1"/>
    <x v="1"/>
    <x v="2"/>
  </r>
  <r>
    <s v="A168"/>
    <x v="155"/>
    <x v="23"/>
    <x v="0"/>
    <x v="2"/>
    <x v="18"/>
    <s v="Linda Johnson"/>
    <x v="0"/>
    <d v="1994-02-22T00:00:00"/>
    <n v="32"/>
    <s v="31-45 Group"/>
    <x v="9"/>
    <x v="9"/>
    <x v="1"/>
    <n v="28"/>
    <x v="2"/>
    <x v="1"/>
    <x v="1"/>
    <x v="2"/>
  </r>
  <r>
    <s v="A181"/>
    <x v="156"/>
    <x v="5"/>
    <x v="4"/>
    <x v="1"/>
    <x v="39"/>
    <s v="Michael Taylor"/>
    <x v="1"/>
    <d v="1986-09-01T00:00:00"/>
    <n v="40"/>
    <s v="31-45 Group"/>
    <x v="9"/>
    <x v="9"/>
    <x v="1"/>
    <n v="28"/>
    <x v="2"/>
    <x v="1"/>
    <x v="1"/>
    <x v="2"/>
  </r>
  <r>
    <s v="A183"/>
    <x v="157"/>
    <x v="17"/>
    <x v="1"/>
    <x v="1"/>
    <x v="30"/>
    <s v="Emily Williams"/>
    <x v="0"/>
    <d v="1972-05-30T00:00:00"/>
    <n v="54"/>
    <s v="46-60 Group"/>
    <x v="9"/>
    <x v="9"/>
    <x v="1"/>
    <n v="28"/>
    <x v="2"/>
    <x v="1"/>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E1F46A-6BA9-46E9-A069-E57C57A4626B}"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24" firstHeaderRow="1" firstDataRow="1" firstDataCol="1"/>
  <pivotFields count="20">
    <pivotField showAll="0"/>
    <pivotField numFmtId="14" showAll="0"/>
    <pivotField numFmtId="164" showAll="0"/>
    <pivotField showAll="0"/>
    <pivotField showAll="0"/>
    <pivotField showAll="0"/>
    <pivotField showAll="0"/>
    <pivotField showAll="0"/>
    <pivotField numFmtId="14" showAll="0"/>
    <pivotField showAll="0"/>
    <pivotField showAll="0"/>
    <pivotField showAll="0"/>
    <pivotField axis="axisRow" showAll="0">
      <items count="11">
        <item x="4"/>
        <item x="9"/>
        <item x="1"/>
        <item x="5"/>
        <item x="2"/>
        <item x="0"/>
        <item x="3"/>
        <item x="7"/>
        <item x="6"/>
        <item x="8"/>
        <item t="default"/>
      </items>
    </pivotField>
    <pivotField axis="axisRow" showAll="0">
      <items count="4">
        <item x="0"/>
        <item x="2"/>
        <item x="1"/>
        <item t="default"/>
      </items>
    </pivotField>
    <pivotField showAll="0"/>
    <pivotField showAll="0"/>
    <pivotField showAll="0"/>
    <pivotField showAll="0"/>
    <pivotField showAll="0"/>
    <pivotField showAll="0" defaultSubtotal="0"/>
  </pivotFields>
  <rowFields count="2">
    <field x="12"/>
    <field x="13"/>
  </rowFields>
  <rowItems count="21">
    <i>
      <x/>
    </i>
    <i r="1">
      <x v="2"/>
    </i>
    <i>
      <x v="1"/>
    </i>
    <i r="1">
      <x v="2"/>
    </i>
    <i>
      <x v="2"/>
    </i>
    <i r="1">
      <x/>
    </i>
    <i>
      <x v="3"/>
    </i>
    <i r="1">
      <x v="2"/>
    </i>
    <i>
      <x v="4"/>
    </i>
    <i r="1">
      <x v="2"/>
    </i>
    <i>
      <x v="5"/>
    </i>
    <i r="1">
      <x/>
    </i>
    <i>
      <x v="6"/>
    </i>
    <i r="1">
      <x v="1"/>
    </i>
    <i>
      <x v="7"/>
    </i>
    <i r="1">
      <x v="1"/>
    </i>
    <i>
      <x v="8"/>
    </i>
    <i r="1">
      <x v="2"/>
    </i>
    <i>
      <x v="9"/>
    </i>
    <i r="1">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F2A30E-54F0-47F9-B94B-32D06A9C2183}"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4" firstHeaderRow="1" firstDataRow="1" firstDataCol="1"/>
  <pivotFields count="20">
    <pivotField dataField="1" showAll="0"/>
    <pivotField numFmtId="14" showAll="0"/>
    <pivotField numFmtId="164" showAll="0"/>
    <pivotField showAll="0"/>
    <pivotField showAll="0"/>
    <pivotField showAll="0"/>
    <pivotField showAll="0"/>
    <pivotField showAll="0"/>
    <pivotField numFmtId="14" showAll="0"/>
    <pivotField showAll="0"/>
    <pivotField showAll="0"/>
    <pivotField showAll="0">
      <items count="11">
        <item x="1"/>
        <item x="5"/>
        <item x="2"/>
        <item x="9"/>
        <item x="8"/>
        <item x="4"/>
        <item x="7"/>
        <item x="0"/>
        <item x="6"/>
        <item x="3"/>
        <item t="default"/>
      </items>
    </pivotField>
    <pivotField axis="axisRow" showAll="0">
      <items count="11">
        <item x="4"/>
        <item x="9"/>
        <item x="1"/>
        <item x="5"/>
        <item x="2"/>
        <item x="0"/>
        <item x="3"/>
        <item x="7"/>
        <item x="6"/>
        <item x="8"/>
        <item t="default"/>
      </items>
    </pivotField>
    <pivotField showAll="0">
      <items count="4">
        <item x="0"/>
        <item x="2"/>
        <item x="1"/>
        <item t="default"/>
      </items>
    </pivotField>
    <pivotField showAll="0"/>
    <pivotField showAll="0"/>
    <pivotField showAll="0">
      <items count="3">
        <item x="0"/>
        <item x="1"/>
        <item t="default"/>
      </items>
    </pivotField>
    <pivotField showAll="0"/>
    <pivotField showAll="0"/>
    <pivotField showAll="0" defaultSubtotal="0">
      <items count="14">
        <item h="1" x="0"/>
        <item x="1"/>
        <item x="2"/>
        <item x="3"/>
        <item x="4"/>
        <item x="5"/>
        <item x="6"/>
        <item x="7"/>
        <item x="8"/>
        <item x="9"/>
        <item x="10"/>
        <item x="11"/>
        <item x="12"/>
        <item h="1" x="13"/>
      </items>
    </pivotField>
  </pivotFields>
  <rowFields count="1">
    <field x="12"/>
  </rowFields>
  <rowItems count="11">
    <i>
      <x/>
    </i>
    <i>
      <x v="1"/>
    </i>
    <i>
      <x v="2"/>
    </i>
    <i>
      <x v="3"/>
    </i>
    <i>
      <x v="4"/>
    </i>
    <i>
      <x v="5"/>
    </i>
    <i>
      <x v="6"/>
    </i>
    <i>
      <x v="7"/>
    </i>
    <i>
      <x v="8"/>
    </i>
    <i>
      <x v="9"/>
    </i>
    <i t="grand">
      <x/>
    </i>
  </rowItems>
  <colItems count="1">
    <i/>
  </colItems>
  <dataFields count="1">
    <dataField name="Count of appointm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0C27D6-6B7E-4FD4-A34C-95F1B75255AC}"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20">
    <pivotField dataField="1" showAll="0"/>
    <pivotField numFmtId="14" showAll="0"/>
    <pivotField numFmtId="164" showAll="0"/>
    <pivotField axis="axisRow" showAll="0">
      <items count="6">
        <item x="1"/>
        <item x="0"/>
        <item x="4"/>
        <item x="3"/>
        <item x="2"/>
        <item t="default"/>
      </items>
    </pivotField>
    <pivotField showAll="0"/>
    <pivotField showAll="0"/>
    <pivotField showAll="0"/>
    <pivotField showAll="0"/>
    <pivotField numFmtId="14" showAll="0"/>
    <pivotField showAll="0"/>
    <pivotField showAll="0"/>
    <pivotField showAll="0"/>
    <pivotField showAll="0">
      <items count="11">
        <item x="4"/>
        <item x="9"/>
        <item x="1"/>
        <item x="5"/>
        <item x="2"/>
        <item x="0"/>
        <item x="3"/>
        <item x="7"/>
        <item x="6"/>
        <item x="8"/>
        <item t="default"/>
      </items>
    </pivotField>
    <pivotField showAll="0">
      <items count="4">
        <item x="0"/>
        <item x="2"/>
        <item x="1"/>
        <item t="default"/>
      </items>
    </pivotField>
    <pivotField showAll="0"/>
    <pivotField showAll="0"/>
    <pivotField showAll="0">
      <items count="3">
        <item x="0"/>
        <item x="1"/>
        <item t="default"/>
      </items>
    </pivotField>
    <pivotField showAll="0"/>
    <pivotField showAll="0"/>
    <pivotField showAll="0" defaultSubtotal="0">
      <items count="14">
        <item h="1" x="0"/>
        <item x="1"/>
        <item x="2"/>
        <item x="3"/>
        <item x="4"/>
        <item x="5"/>
        <item x="6"/>
        <item x="7"/>
        <item x="8"/>
        <item x="9"/>
        <item x="10"/>
        <item x="11"/>
        <item x="12"/>
        <item h="1" x="13"/>
      </items>
    </pivotField>
  </pivotFields>
  <rowFields count="1">
    <field x="3"/>
  </rowFields>
  <rowItems count="6">
    <i>
      <x/>
    </i>
    <i>
      <x v="1"/>
    </i>
    <i>
      <x v="2"/>
    </i>
    <i>
      <x v="3"/>
    </i>
    <i>
      <x v="4"/>
    </i>
    <i t="grand">
      <x/>
    </i>
  </rowItems>
  <colItems count="1">
    <i/>
  </colItems>
  <dataFields count="1">
    <dataField name="Count of appointm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871A4D-240F-4078-BF45-8516550C5392}"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6" firstHeaderRow="1" firstDataRow="1" firstDataCol="1"/>
  <pivotFields count="2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41">
        <item x="1"/>
        <item x="25"/>
        <item x="34"/>
        <item x="27"/>
        <item x="21"/>
        <item x="36"/>
        <item x="3"/>
        <item x="33"/>
        <item x="23"/>
        <item x="38"/>
        <item x="31"/>
        <item x="7"/>
        <item x="0"/>
        <item x="6"/>
        <item x="39"/>
        <item x="4"/>
        <item x="37"/>
        <item x="18"/>
        <item x="16"/>
        <item x="24"/>
        <item x="13"/>
        <item x="5"/>
        <item x="35"/>
        <item x="22"/>
        <item x="14"/>
        <item x="19"/>
        <item x="8"/>
        <item x="20"/>
        <item x="2"/>
        <item x="26"/>
        <item x="12"/>
        <item x="15"/>
        <item x="29"/>
        <item x="17"/>
        <item x="30"/>
        <item x="10"/>
        <item x="28"/>
        <item x="9"/>
        <item x="32"/>
        <item x="11"/>
        <item t="default"/>
      </items>
    </pivotField>
    <pivotField showAll="0">
      <items count="6">
        <item x="1"/>
        <item x="0"/>
        <item x="4"/>
        <item x="3"/>
        <item x="2"/>
        <item t="default"/>
      </items>
    </pivotField>
    <pivotField showAll="0"/>
    <pivotField showAll="0"/>
    <pivotField showAll="0"/>
    <pivotField showAll="0"/>
    <pivotField numFmtId="14"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axis="axisRow" showAll="0" defaultSubtotal="0">
      <items count="14">
        <item h="1" sd="0" x="0"/>
        <item sd="0" x="1"/>
        <item sd="0" x="2"/>
        <item sd="0" x="3"/>
        <item sd="0" x="4"/>
        <item sd="0" x="5"/>
        <item sd="0" x="6"/>
        <item sd="0" x="7"/>
        <item sd="0" x="8"/>
        <item sd="0" x="9"/>
        <item sd="0" x="10"/>
        <item sd="0" x="11"/>
        <item sd="0" x="12"/>
        <item h="1" sd="0" x="13"/>
      </items>
    </pivotField>
  </pivotFields>
  <rowFields count="1">
    <field x="19"/>
  </rowFields>
  <rowItems count="13">
    <i>
      <x v="1"/>
    </i>
    <i>
      <x v="2"/>
    </i>
    <i>
      <x v="3"/>
    </i>
    <i>
      <x v="4"/>
    </i>
    <i>
      <x v="5"/>
    </i>
    <i>
      <x v="6"/>
    </i>
    <i>
      <x v="7"/>
    </i>
    <i>
      <x v="8"/>
    </i>
    <i>
      <x v="9"/>
    </i>
    <i>
      <x v="10"/>
    </i>
    <i>
      <x v="11"/>
    </i>
    <i>
      <x v="12"/>
    </i>
    <i t="grand">
      <x/>
    </i>
  </rowItems>
  <colItems count="1">
    <i/>
  </colItems>
  <dataFields count="1">
    <dataField name="Count of appointm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E76258-EC02-4D26-AF4A-AC1DCEAAC4F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20">
    <pivotField dataField="1" showAll="0"/>
    <pivotField numFmtId="14" showAll="0"/>
    <pivotField numFmtId="164" showAll="0"/>
    <pivotField showAll="0">
      <items count="6">
        <item x="1"/>
        <item x="0"/>
        <item x="4"/>
        <item x="3"/>
        <item x="2"/>
        <item t="default"/>
      </items>
    </pivotField>
    <pivotField showAll="0"/>
    <pivotField showAll="0"/>
    <pivotField showAll="0"/>
    <pivotField showAll="0"/>
    <pivotField numFmtId="14"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defaultSubtotal="0">
      <items count="14">
        <item h="1" x="0"/>
        <item x="1"/>
        <item x="2"/>
        <item x="3"/>
        <item x="4"/>
        <item x="5"/>
        <item x="6"/>
        <item x="7"/>
        <item x="8"/>
        <item x="9"/>
        <item x="10"/>
        <item x="11"/>
        <item x="12"/>
        <item h="1" x="13"/>
      </items>
    </pivotField>
  </pivotFields>
  <rowFields count="1">
    <field x="13"/>
  </rowFields>
  <rowItems count="4">
    <i>
      <x/>
    </i>
    <i>
      <x v="1"/>
    </i>
    <i>
      <x v="2"/>
    </i>
    <i t="grand">
      <x/>
    </i>
  </rowItems>
  <colItems count="1">
    <i/>
  </colItems>
  <dataFields count="1">
    <dataField name="Count of appointm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F1D990-216B-453E-BA38-17E6398AA288}"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6" firstHeaderRow="1" firstDataRow="1" firstDataCol="1"/>
  <pivotFields count="20">
    <pivotField dataField="1" showAll="0"/>
    <pivotField numFmtId="14" showAll="0"/>
    <pivotField numFmtId="164" showAll="0"/>
    <pivotField showAll="0">
      <items count="6">
        <item x="1"/>
        <item x="0"/>
        <item x="4"/>
        <item x="3"/>
        <item x="2"/>
        <item t="default"/>
      </items>
    </pivotField>
    <pivotField showAll="0"/>
    <pivotField showAll="0"/>
    <pivotField showAll="0"/>
    <pivotField axis="axisRow" showAll="0">
      <items count="3">
        <item x="1"/>
        <item x="0"/>
        <item t="default"/>
      </items>
    </pivotField>
    <pivotField numFmtId="14"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defaultSubtotal="0">
      <items count="14">
        <item h="1" x="0"/>
        <item x="1"/>
        <item x="2"/>
        <item x="3"/>
        <item x="4"/>
        <item x="5"/>
        <item x="6"/>
        <item x="7"/>
        <item x="8"/>
        <item x="9"/>
        <item x="10"/>
        <item x="11"/>
        <item x="12"/>
        <item h="1" x="13"/>
      </items>
    </pivotField>
  </pivotFields>
  <rowFields count="1">
    <field x="7"/>
  </rowFields>
  <rowItems count="3">
    <i>
      <x/>
    </i>
    <i>
      <x v="1"/>
    </i>
    <i t="grand">
      <x/>
    </i>
  </rowItems>
  <colItems count="1">
    <i/>
  </colItems>
  <dataFields count="1">
    <dataField name="Count of appointment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5BEEC1-3917-475D-B50F-68773B428915}"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20">
    <pivotField dataField="1" showAll="0"/>
    <pivotField numFmtId="14" showAll="0"/>
    <pivotField numFmtId="164" showAll="0"/>
    <pivotField showAll="0">
      <items count="6">
        <item x="1"/>
        <item x="0"/>
        <item x="4"/>
        <item x="3"/>
        <item x="2"/>
        <item t="default"/>
      </items>
    </pivotField>
    <pivotField showAll="0"/>
    <pivotField showAll="0"/>
    <pivotField showAll="0"/>
    <pivotField showAll="0"/>
    <pivotField numFmtId="14" showAll="0"/>
    <pivotField showAll="0"/>
    <pivotField showAll="0"/>
    <pivotField showAll="0"/>
    <pivotField showAll="0"/>
    <pivotField showAll="0">
      <items count="4">
        <item x="0"/>
        <item x="2"/>
        <item x="1"/>
        <item t="default"/>
      </items>
    </pivotField>
    <pivotField showAll="0"/>
    <pivotField axis="axisRow" showAll="0">
      <items count="4">
        <item x="2"/>
        <item x="1"/>
        <item x="0"/>
        <item t="default"/>
      </items>
    </pivotField>
    <pivotField showAll="0">
      <items count="3">
        <item x="0"/>
        <item x="1"/>
        <item t="default"/>
      </items>
    </pivotField>
    <pivotField showAll="0"/>
    <pivotField showAll="0"/>
    <pivotField showAll="0" defaultSubtotal="0">
      <items count="14">
        <item h="1" x="0"/>
        <item x="1"/>
        <item x="2"/>
        <item x="3"/>
        <item x="4"/>
        <item x="5"/>
        <item x="6"/>
        <item x="7"/>
        <item x="8"/>
        <item x="9"/>
        <item x="10"/>
        <item x="11"/>
        <item x="12"/>
        <item h="1" x="13"/>
      </items>
    </pivotField>
  </pivotFields>
  <rowFields count="1">
    <field x="15"/>
  </rowFields>
  <rowItems count="4">
    <i>
      <x/>
    </i>
    <i>
      <x v="1"/>
    </i>
    <i>
      <x v="2"/>
    </i>
    <i t="grand">
      <x/>
    </i>
  </rowItems>
  <colItems count="1">
    <i/>
  </colItems>
  <dataFields count="1">
    <dataField name="Count of appointm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C0AC6C-A297-4632-991D-931B4F60C9A6}"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20">
    <pivotField dataField="1" showAll="0"/>
    <pivotField numFmtId="14" showAll="0"/>
    <pivotField numFmtId="164" showAll="0"/>
    <pivotField showAll="0"/>
    <pivotField axis="axisRow" showAll="0">
      <items count="5">
        <item x="3"/>
        <item x="1"/>
        <item x="2"/>
        <item x="0"/>
        <item t="default"/>
      </items>
    </pivotField>
    <pivotField showAll="0"/>
    <pivotField showAll="0"/>
    <pivotField showAll="0"/>
    <pivotField numFmtId="14" showAll="0"/>
    <pivotField showAll="0"/>
    <pivotField showAll="0"/>
    <pivotField showAll="0"/>
    <pivotField showAll="0">
      <items count="11">
        <item x="4"/>
        <item x="9"/>
        <item x="1"/>
        <item x="5"/>
        <item x="2"/>
        <item x="0"/>
        <item x="3"/>
        <item x="7"/>
        <item x="6"/>
        <item x="8"/>
        <item t="default"/>
      </items>
    </pivotField>
    <pivotField showAll="0">
      <items count="4">
        <item x="0"/>
        <item x="2"/>
        <item x="1"/>
        <item t="default"/>
      </items>
    </pivotField>
    <pivotField showAll="0"/>
    <pivotField showAll="0"/>
    <pivotField showAll="0"/>
    <pivotField showAll="0"/>
    <pivotField showAll="0"/>
    <pivotField showAll="0" defaultSubtotal="0">
      <items count="14">
        <item h="1" x="0"/>
        <item x="1"/>
        <item x="2"/>
        <item x="3"/>
        <item x="4"/>
        <item x="5"/>
        <item x="6"/>
        <item x="7"/>
        <item x="8"/>
        <item x="9"/>
        <item x="10"/>
        <item x="11"/>
        <item x="12"/>
        <item h="1" x="13"/>
      </items>
    </pivotField>
  </pivotFields>
  <rowFields count="1">
    <field x="4"/>
  </rowFields>
  <rowItems count="5">
    <i>
      <x/>
    </i>
    <i>
      <x v="1"/>
    </i>
    <i>
      <x v="2"/>
    </i>
    <i>
      <x v="3"/>
    </i>
    <i t="grand">
      <x/>
    </i>
  </rowItems>
  <colItems count="1">
    <i/>
  </colItems>
  <dataFields count="1">
    <dataField name="Count of appointment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6702E31E-6CC0-4C1A-8827-C9B0B58AEF29}" sourceName="branch">
  <pivotTables>
    <pivotTable tabId="27" name="PivotTable6"/>
    <pivotTable tabId="23" name="PivotTable2"/>
    <pivotTable tabId="22" name="PivotTable1"/>
  </pivotTables>
  <data>
    <tabular pivotCacheId="67372445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438944E7-5912-42C6-9060-7B47EED9F4EB}" sourceName="Months">
  <pivotTables>
    <pivotTable tabId="22" name="PivotTable1"/>
    <pivotTable tabId="26" name="PivotTable5"/>
    <pivotTable tabId="27" name="PivotTable6"/>
    <pivotTable tabId="23" name="PivotTable2"/>
    <pivotTable tabId="25" name="PivotTable4"/>
    <pivotTable tabId="29" name="PivotTable1"/>
    <pivotTable tabId="24" name="PivotTable3"/>
  </pivotTables>
  <data>
    <tabular pivotCacheId="673724451">
      <items count="14">
        <i x="1" s="1"/>
        <i x="2" s="1"/>
        <i x="3" s="1"/>
        <i x="4" s="1"/>
        <i x="5" s="1"/>
        <i x="6" s="1"/>
        <i x="7" s="1"/>
        <i x="8" s="1"/>
        <i x="9" s="1"/>
        <i x="10" s="1"/>
        <i x="11" s="1"/>
        <i x="12" s="1"/>
        <i x="0" nd="1"/>
        <i x="1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_for_visit" xr10:uid="{AC02FCF2-D6F0-4862-B9CB-17F45F6F3D03}" sourceName="reason_for_visit">
  <pivotTables>
    <pivotTable tabId="25" name="PivotTable4"/>
    <pivotTable tabId="24" name="PivotTable3"/>
    <pivotTable tabId="26" name="PivotTable5"/>
  </pivotTables>
  <data>
    <tabular pivotCacheId="673724451">
      <items count="5">
        <i x="1" s="1"/>
        <i x="0" s="1"/>
        <i x="4"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ialization" xr10:uid="{A900703A-0931-48D7-8F56-75EADB78E144}" sourceName="speialization">
  <pivotTables>
    <pivotTable tabId="26" name="PivotTable5"/>
    <pivotTable tabId="24" name="PivotTable3"/>
    <pivotTable tabId="27" name="PivotTable6"/>
    <pivotTable tabId="23" name="PivotTable2"/>
    <pivotTable tabId="29" name="PivotTable1"/>
    <pivotTable tabId="22" name="PivotTable1"/>
  </pivotTables>
  <data>
    <tabular pivotCacheId="673724451">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91871C7B-0214-4016-934A-0BA5ACD19957}" sourceName="name">
  <pivotTables>
    <pivotTable tabId="29" name="PivotTable1"/>
    <pivotTable tabId="23" name="PivotTable2"/>
    <pivotTable tabId="22" name="PivotTable1"/>
  </pivotTables>
  <data>
    <tabular pivotCacheId="673724451">
      <items count="10">
        <i x="4" s="1"/>
        <i x="9" s="1"/>
        <i x="1" s="1"/>
        <i x="5" s="1"/>
        <i x="2" s="1"/>
        <i x="0" s="1"/>
        <i x="3" s="1"/>
        <i x="7" s="1"/>
        <i x="6"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479EFEA4-924C-4822-9154-C76465736C5A}" cache="Slicer_branch" caption="branch" style="SlicerStyleDark1" rowHeight="241300"/>
  <slicer name="Months 2" xr10:uid="{0CF0FC89-6C31-49F3-A19A-1FBBD111CC1D}" cache="Slicer_Months" caption="Months" style="SlicerStyleDark1" rowHeight="241300"/>
  <slicer name="reason_for_visit 1" xr10:uid="{43DEC063-531E-4D47-8800-FA1EA40466AF}" cache="Slicer_reason_for_visit" caption="reason_for_visit" style="SlicerStyleDark1" rowHeight="241300"/>
  <slicer name="speialization 1" xr10:uid="{EA848F3E-DA82-4911-98A2-EC4E9910B075}" cache="Slicer_speialization" caption="speialization" style="SlicerStyleDark1" rowHeight="241300"/>
  <slicer name="name 1" xr10:uid="{1D839C05-A9F3-4EB7-95ED-9A9ACFD980A5}" cache="Slicer_name" caption="name"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1754FD20-B22A-4A03-A945-9F3805768C33}" cache="Slicer_Months" caption="Months"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ason_for_visit" xr10:uid="{4358C06E-CE1F-4377-9135-02E86B15857C}" cache="Slicer_reason_for_visit" caption="reason_for_visit"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eialization" xr10:uid="{16CA19CC-4F7B-4C80-9798-2482241F69CE}" cache="Slicer_speialization" caption="speialization"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C4E744B3-ADB3-4B93-85A9-8EDFA1AD2CCB}" cache="Slicer_branch" caption="branch"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5F3841EB-2AB0-4D7B-9CE4-BF898C9092DF}" cache="Slicer_name" caption="nam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01"/>
  <sheetViews>
    <sheetView workbookViewId="0">
      <selection activeCell="H18" sqref="H18"/>
    </sheetView>
  </sheetViews>
  <sheetFormatPr defaultRowHeight="15" x14ac:dyDescent="0.25"/>
  <cols>
    <col min="1" max="1" width="15.42578125" bestFit="1" customWidth="1"/>
    <col min="2" max="2" width="10.140625" bestFit="1" customWidth="1"/>
    <col min="3" max="3" width="9.42578125" bestFit="1" customWidth="1"/>
    <col min="4" max="4" width="17.85546875" bestFit="1" customWidth="1"/>
    <col min="7" max="7" width="10.85546875" bestFit="1" customWidth="1"/>
    <col min="14" max="14" width="13.28515625" bestFit="1" customWidth="1"/>
    <col min="16" max="16" width="12.42578125" bestFit="1" customWidth="1"/>
    <col min="17" max="17" width="16.42578125" bestFit="1" customWidth="1"/>
    <col min="20" max="20" width="26.28515625" bestFit="1" customWidth="1"/>
    <col min="29" max="29" width="15.28515625" bestFit="1" customWidth="1"/>
    <col min="30" max="30" width="28.140625" bestFit="1" customWidth="1"/>
  </cols>
  <sheetData>
    <row r="1" spans="1:30" x14ac:dyDescent="0.25">
      <c r="A1" s="16" t="s">
        <v>0</v>
      </c>
      <c r="B1" s="16" t="s">
        <v>1</v>
      </c>
      <c r="C1" s="16" t="s">
        <v>2</v>
      </c>
      <c r="D1" s="16" t="s">
        <v>3</v>
      </c>
      <c r="E1" s="16" t="s">
        <v>4</v>
      </c>
      <c r="F1" s="16" t="s">
        <v>5</v>
      </c>
      <c r="G1" s="16" t="s">
        <v>6</v>
      </c>
      <c r="J1" s="16" t="s">
        <v>1</v>
      </c>
      <c r="K1" s="16" t="s">
        <v>274</v>
      </c>
      <c r="L1" s="16" t="s">
        <v>275</v>
      </c>
      <c r="M1" s="16" t="s">
        <v>276</v>
      </c>
      <c r="N1" s="16" t="s">
        <v>277</v>
      </c>
      <c r="O1" s="16" t="s">
        <v>278</v>
      </c>
      <c r="P1" s="16" t="s">
        <v>279</v>
      </c>
      <c r="Q1" s="16" t="s">
        <v>280</v>
      </c>
      <c r="R1" s="16" t="s">
        <v>281</v>
      </c>
      <c r="S1" s="16" t="s">
        <v>282</v>
      </c>
      <c r="T1" s="16" t="s">
        <v>283</v>
      </c>
      <c r="W1" s="16" t="s">
        <v>2</v>
      </c>
      <c r="X1" s="16" t="s">
        <v>274</v>
      </c>
      <c r="Y1" s="16" t="s">
        <v>275</v>
      </c>
      <c r="Z1" s="16" t="s">
        <v>405</v>
      </c>
      <c r="AA1" s="16" t="s">
        <v>406</v>
      </c>
      <c r="AB1" s="16" t="s">
        <v>407</v>
      </c>
      <c r="AC1" s="16" t="s">
        <v>408</v>
      </c>
      <c r="AD1" s="16" t="s">
        <v>283</v>
      </c>
    </row>
    <row r="2" spans="1:30" x14ac:dyDescent="0.25">
      <c r="A2" s="16" t="s">
        <v>7</v>
      </c>
      <c r="B2" s="16" t="s">
        <v>8</v>
      </c>
      <c r="C2" s="16" t="s">
        <v>9</v>
      </c>
      <c r="D2" s="17">
        <v>45147</v>
      </c>
      <c r="E2" s="18">
        <v>0.63541666666666663</v>
      </c>
      <c r="F2" s="16" t="s">
        <v>10</v>
      </c>
      <c r="G2" s="16" t="s">
        <v>11</v>
      </c>
      <c r="J2" s="16" t="s">
        <v>31</v>
      </c>
      <c r="K2" s="16" t="s">
        <v>284</v>
      </c>
      <c r="L2" s="16" t="s">
        <v>285</v>
      </c>
      <c r="M2" s="16" t="s">
        <v>286</v>
      </c>
      <c r="N2" s="17">
        <v>20244</v>
      </c>
      <c r="O2" s="16">
        <v>6939585183</v>
      </c>
      <c r="P2" s="16" t="s">
        <v>287</v>
      </c>
      <c r="Q2" s="17">
        <v>44735</v>
      </c>
      <c r="R2" s="16" t="s">
        <v>288</v>
      </c>
      <c r="S2" s="16" t="s">
        <v>289</v>
      </c>
      <c r="T2" s="16" t="s">
        <v>290</v>
      </c>
      <c r="W2" s="16" t="s">
        <v>59</v>
      </c>
      <c r="X2" s="16" t="s">
        <v>284</v>
      </c>
      <c r="Y2" s="16" t="s">
        <v>325</v>
      </c>
      <c r="Z2" s="16" t="s">
        <v>409</v>
      </c>
      <c r="AA2" s="16">
        <v>8322010158</v>
      </c>
      <c r="AB2" s="16">
        <v>17</v>
      </c>
      <c r="AC2" s="16" t="s">
        <v>410</v>
      </c>
      <c r="AD2" s="16" t="s">
        <v>411</v>
      </c>
    </row>
    <row r="3" spans="1:30" x14ac:dyDescent="0.25">
      <c r="A3" s="16" t="s">
        <v>12</v>
      </c>
      <c r="B3" s="16" t="s">
        <v>13</v>
      </c>
      <c r="C3" s="16" t="s">
        <v>14</v>
      </c>
      <c r="D3" s="17">
        <v>45086</v>
      </c>
      <c r="E3" s="18">
        <v>0.60416666666666663</v>
      </c>
      <c r="F3" s="16" t="s">
        <v>10</v>
      </c>
      <c r="G3" s="16" t="s">
        <v>15</v>
      </c>
      <c r="J3" s="16" t="s">
        <v>112</v>
      </c>
      <c r="K3" s="16" t="s">
        <v>291</v>
      </c>
      <c r="L3" s="16" t="s">
        <v>292</v>
      </c>
      <c r="M3" s="16" t="s">
        <v>286</v>
      </c>
      <c r="N3" s="17">
        <v>30967</v>
      </c>
      <c r="O3" s="16">
        <v>8228188767</v>
      </c>
      <c r="P3" s="16" t="s">
        <v>293</v>
      </c>
      <c r="Q3" s="17">
        <v>44576</v>
      </c>
      <c r="R3" s="16" t="s">
        <v>294</v>
      </c>
      <c r="S3" s="16" t="s">
        <v>295</v>
      </c>
      <c r="T3" s="16" t="s">
        <v>296</v>
      </c>
      <c r="W3" s="16" t="s">
        <v>48</v>
      </c>
      <c r="X3" s="16" t="s">
        <v>340</v>
      </c>
      <c r="Y3" s="16" t="s">
        <v>319</v>
      </c>
      <c r="Z3" s="16" t="s">
        <v>412</v>
      </c>
      <c r="AA3" s="16">
        <v>9004382050</v>
      </c>
      <c r="AB3" s="16">
        <v>24</v>
      </c>
      <c r="AC3" s="16" t="s">
        <v>413</v>
      </c>
      <c r="AD3" s="16" t="s">
        <v>414</v>
      </c>
    </row>
    <row r="4" spans="1:30" x14ac:dyDescent="0.25">
      <c r="A4" s="16" t="s">
        <v>16</v>
      </c>
      <c r="B4" s="16" t="s">
        <v>17</v>
      </c>
      <c r="C4" s="16" t="s">
        <v>14</v>
      </c>
      <c r="D4" s="17">
        <v>45105</v>
      </c>
      <c r="E4" s="18">
        <v>0.33333333333333331</v>
      </c>
      <c r="F4" s="16" t="s">
        <v>18</v>
      </c>
      <c r="G4" s="16" t="s">
        <v>19</v>
      </c>
      <c r="J4" s="16" t="s">
        <v>47</v>
      </c>
      <c r="K4" s="16" t="s">
        <v>297</v>
      </c>
      <c r="L4" s="16" t="s">
        <v>298</v>
      </c>
      <c r="M4" s="16" t="s">
        <v>299</v>
      </c>
      <c r="N4" s="17">
        <v>28358</v>
      </c>
      <c r="O4" s="16">
        <v>8397029847</v>
      </c>
      <c r="P4" s="16" t="s">
        <v>293</v>
      </c>
      <c r="Q4" s="17">
        <v>44599</v>
      </c>
      <c r="R4" s="16" t="s">
        <v>294</v>
      </c>
      <c r="S4" s="16" t="s">
        <v>300</v>
      </c>
      <c r="T4" s="16" t="s">
        <v>301</v>
      </c>
      <c r="W4" s="16" t="s">
        <v>25</v>
      </c>
      <c r="X4" s="16" t="s">
        <v>340</v>
      </c>
      <c r="Y4" s="16" t="s">
        <v>292</v>
      </c>
      <c r="Z4" s="16" t="s">
        <v>412</v>
      </c>
      <c r="AA4" s="16">
        <v>8737740598</v>
      </c>
      <c r="AB4" s="16">
        <v>19</v>
      </c>
      <c r="AC4" s="16" t="s">
        <v>413</v>
      </c>
      <c r="AD4" s="16" t="s">
        <v>415</v>
      </c>
    </row>
    <row r="5" spans="1:30" x14ac:dyDescent="0.25">
      <c r="A5" s="16" t="s">
        <v>20</v>
      </c>
      <c r="B5" s="16" t="s">
        <v>21</v>
      </c>
      <c r="C5" s="16" t="s">
        <v>22</v>
      </c>
      <c r="D5" s="17">
        <v>45170</v>
      </c>
      <c r="E5" s="18">
        <v>0.38541666666666669</v>
      </c>
      <c r="F5" s="16" t="s">
        <v>18</v>
      </c>
      <c r="G5" s="16" t="s">
        <v>19</v>
      </c>
      <c r="J5" s="16" t="s">
        <v>106</v>
      </c>
      <c r="K5" s="16" t="s">
        <v>302</v>
      </c>
      <c r="L5" s="16" t="s">
        <v>303</v>
      </c>
      <c r="M5" s="16" t="s">
        <v>286</v>
      </c>
      <c r="N5" s="17">
        <v>29637</v>
      </c>
      <c r="O5" s="16">
        <v>9019443432</v>
      </c>
      <c r="P5" s="16" t="s">
        <v>304</v>
      </c>
      <c r="Q5" s="17">
        <v>44257</v>
      </c>
      <c r="R5" s="16" t="s">
        <v>305</v>
      </c>
      <c r="S5" s="16" t="s">
        <v>306</v>
      </c>
      <c r="T5" s="16" t="s">
        <v>307</v>
      </c>
      <c r="W5" s="16" t="s">
        <v>14</v>
      </c>
      <c r="X5" s="16" t="s">
        <v>284</v>
      </c>
      <c r="Y5" s="16" t="s">
        <v>298</v>
      </c>
      <c r="Z5" s="16" t="s">
        <v>412</v>
      </c>
      <c r="AA5" s="16">
        <v>6594221991</v>
      </c>
      <c r="AB5" s="16">
        <v>28</v>
      </c>
      <c r="AC5" s="16" t="s">
        <v>416</v>
      </c>
      <c r="AD5" s="16" t="s">
        <v>417</v>
      </c>
    </row>
    <row r="6" spans="1:30" x14ac:dyDescent="0.25">
      <c r="A6" s="16" t="s">
        <v>23</v>
      </c>
      <c r="B6" s="16" t="s">
        <v>24</v>
      </c>
      <c r="C6" s="16" t="s">
        <v>25</v>
      </c>
      <c r="D6" s="17">
        <v>45113</v>
      </c>
      <c r="E6" s="18">
        <v>0.53125</v>
      </c>
      <c r="F6" s="16" t="s">
        <v>26</v>
      </c>
      <c r="G6" s="16" t="s">
        <v>15</v>
      </c>
      <c r="J6" s="16" t="s">
        <v>40</v>
      </c>
      <c r="K6" s="16" t="s">
        <v>284</v>
      </c>
      <c r="L6" s="16" t="s">
        <v>308</v>
      </c>
      <c r="M6" s="16" t="s">
        <v>299</v>
      </c>
      <c r="N6" s="17">
        <v>22090</v>
      </c>
      <c r="O6" s="16">
        <v>7734463155</v>
      </c>
      <c r="P6" s="16" t="s">
        <v>304</v>
      </c>
      <c r="Q6" s="17">
        <v>44468</v>
      </c>
      <c r="R6" s="16" t="s">
        <v>309</v>
      </c>
      <c r="S6" s="16" t="s">
        <v>310</v>
      </c>
      <c r="T6" s="16" t="s">
        <v>311</v>
      </c>
      <c r="W6" s="16" t="s">
        <v>74</v>
      </c>
      <c r="X6" s="16" t="s">
        <v>336</v>
      </c>
      <c r="Y6" s="16" t="s">
        <v>325</v>
      </c>
      <c r="Z6" s="16" t="s">
        <v>409</v>
      </c>
      <c r="AA6" s="16">
        <v>9118538547</v>
      </c>
      <c r="AB6" s="16">
        <v>26</v>
      </c>
      <c r="AC6" s="16" t="s">
        <v>416</v>
      </c>
      <c r="AD6" s="16" t="s">
        <v>418</v>
      </c>
    </row>
    <row r="7" spans="1:30" x14ac:dyDescent="0.25">
      <c r="A7" s="16" t="s">
        <v>27</v>
      </c>
      <c r="B7" s="16" t="s">
        <v>28</v>
      </c>
      <c r="C7" s="16" t="s">
        <v>22</v>
      </c>
      <c r="D7" s="17">
        <v>45096</v>
      </c>
      <c r="E7" s="18">
        <v>0.67708333333333337</v>
      </c>
      <c r="F7" s="16" t="s">
        <v>29</v>
      </c>
      <c r="G7" s="16" t="s">
        <v>11</v>
      </c>
      <c r="J7" s="16" t="s">
        <v>312</v>
      </c>
      <c r="K7" s="16" t="s">
        <v>313</v>
      </c>
      <c r="L7" s="16" t="s">
        <v>298</v>
      </c>
      <c r="M7" s="16" t="s">
        <v>299</v>
      </c>
      <c r="N7" s="17">
        <v>23178</v>
      </c>
      <c r="O7" s="16">
        <v>7561777264</v>
      </c>
      <c r="P7" s="16" t="s">
        <v>293</v>
      </c>
      <c r="Q7" s="17">
        <v>44836</v>
      </c>
      <c r="R7" s="16" t="s">
        <v>305</v>
      </c>
      <c r="S7" s="16" t="s">
        <v>314</v>
      </c>
      <c r="T7" s="16" t="s">
        <v>315</v>
      </c>
      <c r="W7" s="16" t="s">
        <v>22</v>
      </c>
      <c r="X7" s="16" t="s">
        <v>316</v>
      </c>
      <c r="Y7" s="16" t="s">
        <v>319</v>
      </c>
      <c r="Z7" s="16" t="s">
        <v>412</v>
      </c>
      <c r="AA7" s="16">
        <v>6570137231</v>
      </c>
      <c r="AB7" s="16">
        <v>23</v>
      </c>
      <c r="AC7" s="16" t="s">
        <v>416</v>
      </c>
      <c r="AD7" s="16" t="s">
        <v>419</v>
      </c>
    </row>
    <row r="8" spans="1:30" x14ac:dyDescent="0.25">
      <c r="A8" s="16" t="s">
        <v>30</v>
      </c>
      <c r="B8" s="16" t="s">
        <v>31</v>
      </c>
      <c r="C8" s="16" t="s">
        <v>32</v>
      </c>
      <c r="D8" s="17">
        <v>45025</v>
      </c>
      <c r="E8" s="18">
        <v>0.4375</v>
      </c>
      <c r="F8" s="16" t="s">
        <v>18</v>
      </c>
      <c r="G8" s="16" t="s">
        <v>11</v>
      </c>
      <c r="J8" s="16" t="s">
        <v>163</v>
      </c>
      <c r="K8" s="16" t="s">
        <v>316</v>
      </c>
      <c r="L8" s="16" t="s">
        <v>303</v>
      </c>
      <c r="M8" s="16" t="s">
        <v>286</v>
      </c>
      <c r="N8" s="17">
        <v>32667</v>
      </c>
      <c r="O8" s="16">
        <v>6278710077</v>
      </c>
      <c r="P8" s="16" t="s">
        <v>287</v>
      </c>
      <c r="Q8" s="17">
        <v>44555</v>
      </c>
      <c r="R8" s="16" t="s">
        <v>309</v>
      </c>
      <c r="S8" s="16" t="s">
        <v>317</v>
      </c>
      <c r="T8" s="16" t="s">
        <v>318</v>
      </c>
      <c r="W8" s="16" t="s">
        <v>32</v>
      </c>
      <c r="X8" s="16" t="s">
        <v>361</v>
      </c>
      <c r="Y8" s="16" t="s">
        <v>319</v>
      </c>
      <c r="Z8" s="16" t="s">
        <v>420</v>
      </c>
      <c r="AA8" s="16">
        <v>8217493115</v>
      </c>
      <c r="AB8" s="16">
        <v>26</v>
      </c>
      <c r="AC8" s="16" t="s">
        <v>410</v>
      </c>
      <c r="AD8" s="16" t="s">
        <v>421</v>
      </c>
    </row>
    <row r="9" spans="1:30" x14ac:dyDescent="0.25">
      <c r="A9" s="16" t="s">
        <v>33</v>
      </c>
      <c r="B9" s="16" t="s">
        <v>34</v>
      </c>
      <c r="C9" s="16" t="s">
        <v>35</v>
      </c>
      <c r="D9" s="17">
        <v>45070</v>
      </c>
      <c r="E9" s="18">
        <v>0.36458333333333331</v>
      </c>
      <c r="F9" s="16" t="s">
        <v>18</v>
      </c>
      <c r="G9" s="16" t="s">
        <v>19</v>
      </c>
      <c r="J9" s="16" t="s">
        <v>154</v>
      </c>
      <c r="K9" s="16" t="s">
        <v>284</v>
      </c>
      <c r="L9" s="16" t="s">
        <v>319</v>
      </c>
      <c r="M9" s="16" t="s">
        <v>286</v>
      </c>
      <c r="N9" s="17">
        <v>27946</v>
      </c>
      <c r="O9" s="16">
        <v>7090558393</v>
      </c>
      <c r="P9" s="16" t="s">
        <v>320</v>
      </c>
      <c r="Q9" s="17">
        <v>44341</v>
      </c>
      <c r="R9" s="16" t="s">
        <v>288</v>
      </c>
      <c r="S9" s="16" t="s">
        <v>321</v>
      </c>
      <c r="T9" s="16" t="s">
        <v>322</v>
      </c>
      <c r="W9" s="16" t="s">
        <v>54</v>
      </c>
      <c r="X9" s="16" t="s">
        <v>313</v>
      </c>
      <c r="Y9" s="16" t="s">
        <v>354</v>
      </c>
      <c r="Z9" s="16" t="s">
        <v>409</v>
      </c>
      <c r="AA9" s="16">
        <v>9069162601</v>
      </c>
      <c r="AB9" s="16">
        <v>5</v>
      </c>
      <c r="AC9" s="16" t="s">
        <v>410</v>
      </c>
      <c r="AD9" s="16" t="s">
        <v>422</v>
      </c>
    </row>
    <row r="10" spans="1:30" x14ac:dyDescent="0.25">
      <c r="A10" s="16" t="s">
        <v>36</v>
      </c>
      <c r="B10" s="16" t="s">
        <v>37</v>
      </c>
      <c r="C10" s="16" t="s">
        <v>35</v>
      </c>
      <c r="D10" s="17">
        <v>44990</v>
      </c>
      <c r="E10" s="18">
        <v>0.57291666666666663</v>
      </c>
      <c r="F10" s="16" t="s">
        <v>38</v>
      </c>
      <c r="G10" s="16" t="s">
        <v>11</v>
      </c>
      <c r="J10" s="16" t="s">
        <v>177</v>
      </c>
      <c r="K10" s="16" t="s">
        <v>297</v>
      </c>
      <c r="L10" s="16" t="s">
        <v>319</v>
      </c>
      <c r="M10" s="16" t="s">
        <v>299</v>
      </c>
      <c r="N10" s="17">
        <v>26278</v>
      </c>
      <c r="O10" s="16">
        <v>7060324619</v>
      </c>
      <c r="P10" s="16" t="s">
        <v>293</v>
      </c>
      <c r="Q10" s="17">
        <v>44822</v>
      </c>
      <c r="R10" s="16" t="s">
        <v>294</v>
      </c>
      <c r="S10" s="16" t="s">
        <v>323</v>
      </c>
      <c r="T10" s="16" t="s">
        <v>324</v>
      </c>
      <c r="W10" s="16" t="s">
        <v>9</v>
      </c>
      <c r="X10" s="16" t="s">
        <v>336</v>
      </c>
      <c r="Y10" s="16" t="s">
        <v>292</v>
      </c>
      <c r="Z10" s="16" t="s">
        <v>412</v>
      </c>
      <c r="AA10" s="16">
        <v>7387087517</v>
      </c>
      <c r="AB10" s="16">
        <v>26</v>
      </c>
      <c r="AC10" s="16" t="s">
        <v>416</v>
      </c>
      <c r="AD10" s="16" t="s">
        <v>423</v>
      </c>
    </row>
    <row r="11" spans="1:30" x14ac:dyDescent="0.25">
      <c r="A11" s="16" t="s">
        <v>39</v>
      </c>
      <c r="B11" s="16" t="s">
        <v>40</v>
      </c>
      <c r="C11" s="16" t="s">
        <v>25</v>
      </c>
      <c r="D11" s="17">
        <v>44939</v>
      </c>
      <c r="E11" s="18">
        <v>0.64583333333333337</v>
      </c>
      <c r="F11" s="16" t="s">
        <v>10</v>
      </c>
      <c r="G11" s="16" t="s">
        <v>41</v>
      </c>
      <c r="J11" s="16" t="s">
        <v>92</v>
      </c>
      <c r="K11" s="16" t="s">
        <v>302</v>
      </c>
      <c r="L11" s="16" t="s">
        <v>325</v>
      </c>
      <c r="M11" s="16" t="s">
        <v>299</v>
      </c>
      <c r="N11" s="17">
        <v>37177</v>
      </c>
      <c r="O11" s="16">
        <v>7081396733</v>
      </c>
      <c r="P11" s="16" t="s">
        <v>304</v>
      </c>
      <c r="Q11" s="17">
        <v>44797</v>
      </c>
      <c r="R11" s="16" t="s">
        <v>288</v>
      </c>
      <c r="S11" s="16" t="s">
        <v>326</v>
      </c>
      <c r="T11" s="16" t="s">
        <v>327</v>
      </c>
      <c r="W11" s="16" t="s">
        <v>35</v>
      </c>
      <c r="X11" s="16" t="s">
        <v>313</v>
      </c>
      <c r="Y11" s="16" t="s">
        <v>308</v>
      </c>
      <c r="Z11" s="16" t="s">
        <v>420</v>
      </c>
      <c r="AA11" s="16">
        <v>6176383634</v>
      </c>
      <c r="AB11" s="16">
        <v>21</v>
      </c>
      <c r="AC11" s="16" t="s">
        <v>413</v>
      </c>
      <c r="AD11" s="16" t="s">
        <v>424</v>
      </c>
    </row>
    <row r="12" spans="1:30" x14ac:dyDescent="0.25">
      <c r="A12" s="16" t="s">
        <v>42</v>
      </c>
      <c r="B12" s="16" t="s">
        <v>43</v>
      </c>
      <c r="C12" s="16" t="s">
        <v>32</v>
      </c>
      <c r="D12" s="17">
        <v>45242</v>
      </c>
      <c r="E12" s="18">
        <v>0.66666666666666663</v>
      </c>
      <c r="F12" s="16" t="s">
        <v>29</v>
      </c>
      <c r="G12" s="16" t="s">
        <v>15</v>
      </c>
      <c r="J12" s="16" t="s">
        <v>168</v>
      </c>
      <c r="K12" s="16" t="s">
        <v>291</v>
      </c>
      <c r="L12" s="16" t="s">
        <v>298</v>
      </c>
      <c r="M12" s="16" t="s">
        <v>286</v>
      </c>
      <c r="N12" s="17">
        <v>24445</v>
      </c>
      <c r="O12" s="16">
        <v>8990604070</v>
      </c>
      <c r="P12" s="16" t="s">
        <v>287</v>
      </c>
      <c r="Q12" s="17">
        <v>44831</v>
      </c>
      <c r="R12" s="16" t="s">
        <v>309</v>
      </c>
      <c r="S12" s="16" t="s">
        <v>328</v>
      </c>
      <c r="T12" s="16" t="s">
        <v>329</v>
      </c>
    </row>
    <row r="13" spans="1:30" x14ac:dyDescent="0.25">
      <c r="A13" s="16" t="s">
        <v>44</v>
      </c>
      <c r="B13" s="16" t="s">
        <v>45</v>
      </c>
      <c r="C13" s="16" t="s">
        <v>25</v>
      </c>
      <c r="D13" s="17">
        <v>45053</v>
      </c>
      <c r="E13" s="18">
        <v>0.41666666666666669</v>
      </c>
      <c r="F13" s="16" t="s">
        <v>38</v>
      </c>
      <c r="G13" s="16" t="s">
        <v>41</v>
      </c>
      <c r="J13" s="16" t="s">
        <v>50</v>
      </c>
      <c r="K13" s="16" t="s">
        <v>297</v>
      </c>
      <c r="L13" s="16" t="s">
        <v>319</v>
      </c>
      <c r="M13" s="16" t="s">
        <v>286</v>
      </c>
      <c r="N13" s="17">
        <v>33580</v>
      </c>
      <c r="O13" s="16">
        <v>8135666049</v>
      </c>
      <c r="P13" s="16" t="s">
        <v>293</v>
      </c>
      <c r="Q13" s="17">
        <v>45043</v>
      </c>
      <c r="R13" s="16" t="s">
        <v>309</v>
      </c>
      <c r="S13" s="16" t="s">
        <v>330</v>
      </c>
      <c r="T13" s="16" t="s">
        <v>324</v>
      </c>
    </row>
    <row r="14" spans="1:30" x14ac:dyDescent="0.25">
      <c r="A14" s="16" t="s">
        <v>46</v>
      </c>
      <c r="B14" s="16" t="s">
        <v>47</v>
      </c>
      <c r="C14" s="16" t="s">
        <v>48</v>
      </c>
      <c r="D14" s="17">
        <v>45154</v>
      </c>
      <c r="E14" s="18">
        <v>0.5</v>
      </c>
      <c r="F14" s="16" t="s">
        <v>26</v>
      </c>
      <c r="G14" s="16" t="s">
        <v>11</v>
      </c>
      <c r="J14" s="16" t="s">
        <v>142</v>
      </c>
      <c r="K14" s="16" t="s">
        <v>297</v>
      </c>
      <c r="L14" s="16" t="s">
        <v>303</v>
      </c>
      <c r="M14" s="16" t="s">
        <v>286</v>
      </c>
      <c r="N14" s="17">
        <v>32960</v>
      </c>
      <c r="O14" s="16">
        <v>9059178882</v>
      </c>
      <c r="P14" s="16" t="s">
        <v>293</v>
      </c>
      <c r="Q14" s="17">
        <v>44553</v>
      </c>
      <c r="R14" s="16" t="s">
        <v>288</v>
      </c>
      <c r="S14" s="16" t="s">
        <v>331</v>
      </c>
      <c r="T14" s="16" t="s">
        <v>332</v>
      </c>
    </row>
    <row r="15" spans="1:30" x14ac:dyDescent="0.25">
      <c r="A15" s="16" t="s">
        <v>49</v>
      </c>
      <c r="B15" s="16" t="s">
        <v>50</v>
      </c>
      <c r="C15" s="16" t="s">
        <v>35</v>
      </c>
      <c r="D15" s="17">
        <v>45071</v>
      </c>
      <c r="E15" s="18">
        <v>0.4375</v>
      </c>
      <c r="F15" s="16" t="s">
        <v>26</v>
      </c>
      <c r="G15" s="16" t="s">
        <v>19</v>
      </c>
      <c r="J15" s="16" t="s">
        <v>61</v>
      </c>
      <c r="K15" s="16" t="s">
        <v>316</v>
      </c>
      <c r="L15" s="16" t="s">
        <v>325</v>
      </c>
      <c r="M15" s="16" t="s">
        <v>299</v>
      </c>
      <c r="N15" s="17">
        <v>24895</v>
      </c>
      <c r="O15" s="16">
        <v>7292262512</v>
      </c>
      <c r="P15" s="16" t="s">
        <v>287</v>
      </c>
      <c r="Q15" s="17">
        <v>45272</v>
      </c>
      <c r="R15" s="16" t="s">
        <v>309</v>
      </c>
      <c r="S15" s="16" t="s">
        <v>333</v>
      </c>
      <c r="T15" s="16" t="s">
        <v>334</v>
      </c>
    </row>
    <row r="16" spans="1:30" x14ac:dyDescent="0.25">
      <c r="A16" s="16" t="s">
        <v>51</v>
      </c>
      <c r="B16" s="16" t="s">
        <v>52</v>
      </c>
      <c r="C16" s="16" t="s">
        <v>14</v>
      </c>
      <c r="D16" s="17">
        <v>44941</v>
      </c>
      <c r="E16" s="18">
        <v>0.71875</v>
      </c>
      <c r="F16" s="16" t="s">
        <v>18</v>
      </c>
      <c r="G16" s="16" t="s">
        <v>15</v>
      </c>
      <c r="J16" s="16" t="s">
        <v>335</v>
      </c>
      <c r="K16" s="16" t="s">
        <v>336</v>
      </c>
      <c r="L16" s="16" t="s">
        <v>303</v>
      </c>
      <c r="M16" s="16" t="s">
        <v>299</v>
      </c>
      <c r="N16" s="17">
        <v>23508</v>
      </c>
      <c r="O16" s="16">
        <v>6636028516</v>
      </c>
      <c r="P16" s="16" t="s">
        <v>293</v>
      </c>
      <c r="Q16" s="17">
        <v>44464</v>
      </c>
      <c r="R16" s="16" t="s">
        <v>288</v>
      </c>
      <c r="S16" s="16" t="s">
        <v>337</v>
      </c>
      <c r="T16" s="16" t="s">
        <v>338</v>
      </c>
    </row>
    <row r="17" spans="1:20" x14ac:dyDescent="0.25">
      <c r="A17" s="16" t="s">
        <v>53</v>
      </c>
      <c r="B17" s="16" t="s">
        <v>34</v>
      </c>
      <c r="C17" s="16" t="s">
        <v>54</v>
      </c>
      <c r="D17" s="17">
        <v>45107</v>
      </c>
      <c r="E17" s="18">
        <v>0.45833333333333331</v>
      </c>
      <c r="F17" s="16" t="s">
        <v>18</v>
      </c>
      <c r="G17" s="16" t="s">
        <v>11</v>
      </c>
      <c r="J17" s="16" t="s">
        <v>34</v>
      </c>
      <c r="K17" s="16" t="s">
        <v>302</v>
      </c>
      <c r="L17" s="16" t="s">
        <v>325</v>
      </c>
      <c r="M17" s="16" t="s">
        <v>299</v>
      </c>
      <c r="N17" s="17">
        <v>36729</v>
      </c>
      <c r="O17" s="16">
        <v>7223380592</v>
      </c>
      <c r="P17" s="16" t="s">
        <v>287</v>
      </c>
      <c r="Q17" s="17">
        <v>44400</v>
      </c>
      <c r="R17" s="16" t="s">
        <v>294</v>
      </c>
      <c r="S17" s="16" t="s">
        <v>339</v>
      </c>
      <c r="T17" s="16" t="s">
        <v>327</v>
      </c>
    </row>
    <row r="18" spans="1:20" x14ac:dyDescent="0.25">
      <c r="A18" s="16" t="s">
        <v>55</v>
      </c>
      <c r="B18" s="16" t="s">
        <v>56</v>
      </c>
      <c r="C18" s="16" t="s">
        <v>9</v>
      </c>
      <c r="D18" s="17">
        <v>45118</v>
      </c>
      <c r="E18" s="18">
        <v>0.70833333333333337</v>
      </c>
      <c r="F18" s="16" t="s">
        <v>26</v>
      </c>
      <c r="G18" s="16" t="s">
        <v>11</v>
      </c>
      <c r="J18" s="16" t="s">
        <v>151</v>
      </c>
      <c r="K18" s="16" t="s">
        <v>340</v>
      </c>
      <c r="L18" s="16" t="s">
        <v>298</v>
      </c>
      <c r="M18" s="16" t="s">
        <v>299</v>
      </c>
      <c r="N18" s="17">
        <v>33359</v>
      </c>
      <c r="O18" s="16">
        <v>6158428240</v>
      </c>
      <c r="P18" s="16" t="s">
        <v>320</v>
      </c>
      <c r="Q18" s="17">
        <v>44830</v>
      </c>
      <c r="R18" s="16" t="s">
        <v>288</v>
      </c>
      <c r="S18" s="16" t="s">
        <v>341</v>
      </c>
      <c r="T18" s="16" t="s">
        <v>342</v>
      </c>
    </row>
    <row r="19" spans="1:20" x14ac:dyDescent="0.25">
      <c r="A19" s="16" t="s">
        <v>57</v>
      </c>
      <c r="B19" s="16" t="s">
        <v>43</v>
      </c>
      <c r="C19" s="16" t="s">
        <v>32</v>
      </c>
      <c r="D19" s="17">
        <v>45244</v>
      </c>
      <c r="E19" s="18">
        <v>0.40625</v>
      </c>
      <c r="F19" s="16" t="s">
        <v>18</v>
      </c>
      <c r="G19" s="16" t="s">
        <v>19</v>
      </c>
      <c r="J19" s="16" t="s">
        <v>185</v>
      </c>
      <c r="K19" s="16" t="s">
        <v>297</v>
      </c>
      <c r="L19" s="16" t="s">
        <v>308</v>
      </c>
      <c r="M19" s="16" t="s">
        <v>299</v>
      </c>
      <c r="N19" s="17">
        <v>29122</v>
      </c>
      <c r="O19" s="16">
        <v>7145815738</v>
      </c>
      <c r="P19" s="16" t="s">
        <v>287</v>
      </c>
      <c r="Q19" s="17">
        <v>44827</v>
      </c>
      <c r="R19" s="16" t="s">
        <v>294</v>
      </c>
      <c r="S19" s="16" t="s">
        <v>343</v>
      </c>
      <c r="T19" s="16" t="s">
        <v>344</v>
      </c>
    </row>
    <row r="20" spans="1:20" x14ac:dyDescent="0.25">
      <c r="A20" s="16" t="s">
        <v>58</v>
      </c>
      <c r="B20" s="16" t="s">
        <v>45</v>
      </c>
      <c r="C20" s="16" t="s">
        <v>59</v>
      </c>
      <c r="D20" s="17">
        <v>44963</v>
      </c>
      <c r="E20" s="18">
        <v>0.64583333333333337</v>
      </c>
      <c r="F20" s="16" t="s">
        <v>29</v>
      </c>
      <c r="G20" s="16" t="s">
        <v>19</v>
      </c>
      <c r="J20" s="16" t="s">
        <v>100</v>
      </c>
      <c r="K20" s="16" t="s">
        <v>336</v>
      </c>
      <c r="L20" s="16" t="s">
        <v>345</v>
      </c>
      <c r="M20" s="16" t="s">
        <v>299</v>
      </c>
      <c r="N20" s="17">
        <v>27538</v>
      </c>
      <c r="O20" s="16">
        <v>8618058864</v>
      </c>
      <c r="P20" s="16" t="s">
        <v>287</v>
      </c>
      <c r="Q20" s="17">
        <v>45101</v>
      </c>
      <c r="R20" s="16" t="s">
        <v>288</v>
      </c>
      <c r="S20" s="16" t="s">
        <v>346</v>
      </c>
      <c r="T20" s="16" t="s">
        <v>347</v>
      </c>
    </row>
    <row r="21" spans="1:20" x14ac:dyDescent="0.25">
      <c r="A21" s="16" t="s">
        <v>60</v>
      </c>
      <c r="B21" s="16" t="s">
        <v>61</v>
      </c>
      <c r="C21" s="16" t="s">
        <v>25</v>
      </c>
      <c r="D21" s="17">
        <v>45265</v>
      </c>
      <c r="E21" s="18">
        <v>0.63541666666666663</v>
      </c>
      <c r="F21" s="16" t="s">
        <v>18</v>
      </c>
      <c r="G21" s="16" t="s">
        <v>41</v>
      </c>
      <c r="J21" s="16" t="s">
        <v>119</v>
      </c>
      <c r="K21" s="16" t="s">
        <v>340</v>
      </c>
      <c r="L21" s="16" t="s">
        <v>348</v>
      </c>
      <c r="M21" s="16" t="s">
        <v>286</v>
      </c>
      <c r="N21" s="17">
        <v>37778</v>
      </c>
      <c r="O21" s="16">
        <v>8158989953</v>
      </c>
      <c r="P21" s="16" t="s">
        <v>287</v>
      </c>
      <c r="Q21" s="17">
        <v>44654</v>
      </c>
      <c r="R21" s="16" t="s">
        <v>309</v>
      </c>
      <c r="S21" s="16" t="s">
        <v>349</v>
      </c>
      <c r="T21" s="16" t="s">
        <v>350</v>
      </c>
    </row>
    <row r="22" spans="1:20" x14ac:dyDescent="0.25">
      <c r="A22" s="16" t="s">
        <v>62</v>
      </c>
      <c r="B22" s="16" t="s">
        <v>63</v>
      </c>
      <c r="C22" s="16" t="s">
        <v>9</v>
      </c>
      <c r="D22" s="17">
        <v>45040</v>
      </c>
      <c r="E22" s="18">
        <v>0.41666666666666669</v>
      </c>
      <c r="F22" s="16" t="s">
        <v>10</v>
      </c>
      <c r="G22" s="16" t="s">
        <v>15</v>
      </c>
      <c r="J22" s="16" t="s">
        <v>81</v>
      </c>
      <c r="K22" s="16" t="s">
        <v>302</v>
      </c>
      <c r="L22" s="16" t="s">
        <v>308</v>
      </c>
      <c r="M22" s="16" t="s">
        <v>299</v>
      </c>
      <c r="N22" s="17">
        <v>37316</v>
      </c>
      <c r="O22" s="16">
        <v>7765390555</v>
      </c>
      <c r="P22" s="16" t="s">
        <v>293</v>
      </c>
      <c r="Q22" s="17">
        <v>44580</v>
      </c>
      <c r="R22" s="16" t="s">
        <v>288</v>
      </c>
      <c r="S22" s="16" t="s">
        <v>351</v>
      </c>
      <c r="T22" s="16" t="s">
        <v>352</v>
      </c>
    </row>
    <row r="23" spans="1:20" x14ac:dyDescent="0.25">
      <c r="A23" s="16" t="s">
        <v>64</v>
      </c>
      <c r="B23" s="16" t="s">
        <v>40</v>
      </c>
      <c r="C23" s="16" t="s">
        <v>59</v>
      </c>
      <c r="D23" s="17">
        <v>45244</v>
      </c>
      <c r="E23" s="18">
        <v>0.54166666666666663</v>
      </c>
      <c r="F23" s="16" t="s">
        <v>18</v>
      </c>
      <c r="G23" s="16" t="s">
        <v>15</v>
      </c>
      <c r="J23" s="16" t="s">
        <v>43</v>
      </c>
      <c r="K23" s="16" t="s">
        <v>353</v>
      </c>
      <c r="L23" s="16" t="s">
        <v>354</v>
      </c>
      <c r="M23" s="16" t="s">
        <v>299</v>
      </c>
      <c r="N23" s="17">
        <v>20219</v>
      </c>
      <c r="O23" s="16">
        <v>6221099573</v>
      </c>
      <c r="P23" s="16" t="s">
        <v>293</v>
      </c>
      <c r="Q23" s="17">
        <v>44327</v>
      </c>
      <c r="R23" s="16" t="s">
        <v>309</v>
      </c>
      <c r="S23" s="16" t="s">
        <v>355</v>
      </c>
      <c r="T23" s="16" t="s">
        <v>356</v>
      </c>
    </row>
    <row r="24" spans="1:20" x14ac:dyDescent="0.25">
      <c r="A24" s="16" t="s">
        <v>65</v>
      </c>
      <c r="B24" s="16" t="s">
        <v>66</v>
      </c>
      <c r="C24" s="16" t="s">
        <v>9</v>
      </c>
      <c r="D24" s="17">
        <v>45055</v>
      </c>
      <c r="E24" s="18">
        <v>0.60416666666666663</v>
      </c>
      <c r="F24" s="16" t="s">
        <v>38</v>
      </c>
      <c r="G24" s="16" t="s">
        <v>19</v>
      </c>
      <c r="J24" s="16" t="s">
        <v>90</v>
      </c>
      <c r="K24" s="16" t="s">
        <v>313</v>
      </c>
      <c r="L24" s="16" t="s">
        <v>303</v>
      </c>
      <c r="M24" s="16" t="s">
        <v>299</v>
      </c>
      <c r="N24" s="17">
        <v>34387</v>
      </c>
      <c r="O24" s="16">
        <v>6141951830</v>
      </c>
      <c r="P24" s="16" t="s">
        <v>287</v>
      </c>
      <c r="Q24" s="17">
        <v>44557</v>
      </c>
      <c r="R24" s="16" t="s">
        <v>288</v>
      </c>
      <c r="S24" s="16" t="s">
        <v>357</v>
      </c>
      <c r="T24" s="16" t="s">
        <v>358</v>
      </c>
    </row>
    <row r="25" spans="1:20" x14ac:dyDescent="0.25">
      <c r="A25" s="16" t="s">
        <v>67</v>
      </c>
      <c r="B25" s="16" t="s">
        <v>68</v>
      </c>
      <c r="C25" s="16" t="s">
        <v>54</v>
      </c>
      <c r="D25" s="17">
        <v>45098</v>
      </c>
      <c r="E25" s="18">
        <v>0.33333333333333331</v>
      </c>
      <c r="F25" s="16" t="s">
        <v>29</v>
      </c>
      <c r="G25" s="16" t="s">
        <v>41</v>
      </c>
      <c r="J25" s="16" t="s">
        <v>109</v>
      </c>
      <c r="K25" s="16" t="s">
        <v>336</v>
      </c>
      <c r="L25" s="16" t="s">
        <v>354</v>
      </c>
      <c r="M25" s="16" t="s">
        <v>286</v>
      </c>
      <c r="N25" s="17">
        <v>33546</v>
      </c>
      <c r="O25" s="16">
        <v>7196777444</v>
      </c>
      <c r="P25" s="16" t="s">
        <v>293</v>
      </c>
      <c r="Q25" s="17">
        <v>44441</v>
      </c>
      <c r="R25" s="16" t="s">
        <v>288</v>
      </c>
      <c r="S25" s="16" t="s">
        <v>359</v>
      </c>
      <c r="T25" s="16" t="s">
        <v>360</v>
      </c>
    </row>
    <row r="26" spans="1:20" x14ac:dyDescent="0.25">
      <c r="A26" s="16" t="s">
        <v>69</v>
      </c>
      <c r="B26" s="16" t="s">
        <v>70</v>
      </c>
      <c r="C26" s="16" t="s">
        <v>59</v>
      </c>
      <c r="D26" s="17">
        <v>44982</v>
      </c>
      <c r="E26" s="18">
        <v>0.33333333333333331</v>
      </c>
      <c r="F26" s="16" t="s">
        <v>38</v>
      </c>
      <c r="G26" s="16" t="s">
        <v>15</v>
      </c>
      <c r="J26" s="16" t="s">
        <v>21</v>
      </c>
      <c r="K26" s="16" t="s">
        <v>361</v>
      </c>
      <c r="L26" s="16" t="s">
        <v>308</v>
      </c>
      <c r="M26" s="16" t="s">
        <v>299</v>
      </c>
      <c r="N26" s="17">
        <v>24333</v>
      </c>
      <c r="O26" s="16">
        <v>7482069727</v>
      </c>
      <c r="P26" s="16" t="s">
        <v>304</v>
      </c>
      <c r="Q26" s="17">
        <v>44448</v>
      </c>
      <c r="R26" s="16" t="s">
        <v>305</v>
      </c>
      <c r="S26" s="16" t="s">
        <v>362</v>
      </c>
      <c r="T26" s="16" t="s">
        <v>363</v>
      </c>
    </row>
    <row r="27" spans="1:20" x14ac:dyDescent="0.25">
      <c r="A27" s="16" t="s">
        <v>71</v>
      </c>
      <c r="B27" s="16" t="s">
        <v>72</v>
      </c>
      <c r="C27" s="16" t="s">
        <v>22</v>
      </c>
      <c r="D27" s="17">
        <v>45002</v>
      </c>
      <c r="E27" s="18">
        <v>0.59375</v>
      </c>
      <c r="F27" s="16" t="s">
        <v>38</v>
      </c>
      <c r="G27" s="16" t="s">
        <v>19</v>
      </c>
      <c r="J27" s="16" t="s">
        <v>52</v>
      </c>
      <c r="K27" s="16" t="s">
        <v>353</v>
      </c>
      <c r="L27" s="16" t="s">
        <v>325</v>
      </c>
      <c r="M27" s="16" t="s">
        <v>299</v>
      </c>
      <c r="N27" s="17">
        <v>37953</v>
      </c>
      <c r="O27" s="16">
        <v>9900972256</v>
      </c>
      <c r="P27" s="16" t="s">
        <v>304</v>
      </c>
      <c r="Q27" s="17">
        <v>44329</v>
      </c>
      <c r="R27" s="16" t="s">
        <v>309</v>
      </c>
      <c r="S27" s="16" t="s">
        <v>364</v>
      </c>
      <c r="T27" s="16" t="s">
        <v>365</v>
      </c>
    </row>
    <row r="28" spans="1:20" x14ac:dyDescent="0.25">
      <c r="A28" s="16" t="s">
        <v>73</v>
      </c>
      <c r="B28" s="16" t="s">
        <v>40</v>
      </c>
      <c r="C28" s="16" t="s">
        <v>74</v>
      </c>
      <c r="D28" s="17">
        <v>45244</v>
      </c>
      <c r="E28" s="18">
        <v>0.53125</v>
      </c>
      <c r="F28" s="16" t="s">
        <v>10</v>
      </c>
      <c r="G28" s="16" t="s">
        <v>11</v>
      </c>
      <c r="J28" s="16" t="s">
        <v>117</v>
      </c>
      <c r="K28" s="16" t="s">
        <v>313</v>
      </c>
      <c r="L28" s="16" t="s">
        <v>348</v>
      </c>
      <c r="M28" s="16" t="s">
        <v>286</v>
      </c>
      <c r="N28" s="17">
        <v>35975</v>
      </c>
      <c r="O28" s="16">
        <v>8724518272</v>
      </c>
      <c r="P28" s="16" t="s">
        <v>293</v>
      </c>
      <c r="Q28" s="17">
        <v>44423</v>
      </c>
      <c r="R28" s="16" t="s">
        <v>305</v>
      </c>
      <c r="S28" s="16" t="s">
        <v>366</v>
      </c>
      <c r="T28" s="16" t="s">
        <v>367</v>
      </c>
    </row>
    <row r="29" spans="1:20" x14ac:dyDescent="0.25">
      <c r="A29" s="16" t="s">
        <v>75</v>
      </c>
      <c r="B29" s="16" t="s">
        <v>50</v>
      </c>
      <c r="C29" s="16" t="s">
        <v>22</v>
      </c>
      <c r="D29" s="17">
        <v>45228</v>
      </c>
      <c r="E29" s="18">
        <v>0.64583333333333337</v>
      </c>
      <c r="F29" s="16" t="s">
        <v>29</v>
      </c>
      <c r="G29" s="16" t="s">
        <v>15</v>
      </c>
      <c r="J29" s="16" t="s">
        <v>63</v>
      </c>
      <c r="K29" s="16" t="s">
        <v>316</v>
      </c>
      <c r="L29" s="16" t="s">
        <v>348</v>
      </c>
      <c r="M29" s="16" t="s">
        <v>299</v>
      </c>
      <c r="N29" s="17">
        <v>34072</v>
      </c>
      <c r="O29" s="16">
        <v>7028910482</v>
      </c>
      <c r="P29" s="16" t="s">
        <v>293</v>
      </c>
      <c r="Q29" s="17">
        <v>45066</v>
      </c>
      <c r="R29" s="16" t="s">
        <v>309</v>
      </c>
      <c r="S29" s="16" t="s">
        <v>368</v>
      </c>
      <c r="T29" s="16" t="s">
        <v>369</v>
      </c>
    </row>
    <row r="30" spans="1:20" x14ac:dyDescent="0.25">
      <c r="A30" s="16" t="s">
        <v>76</v>
      </c>
      <c r="B30" s="16" t="s">
        <v>34</v>
      </c>
      <c r="C30" s="16" t="s">
        <v>35</v>
      </c>
      <c r="D30" s="17">
        <v>45102</v>
      </c>
      <c r="E30" s="18">
        <v>0.60416666666666663</v>
      </c>
      <c r="F30" s="16" t="s">
        <v>29</v>
      </c>
      <c r="G30" s="16" t="s">
        <v>41</v>
      </c>
      <c r="J30" s="16" t="s">
        <v>45</v>
      </c>
      <c r="K30" s="16" t="s">
        <v>284</v>
      </c>
      <c r="L30" s="16" t="s">
        <v>292</v>
      </c>
      <c r="M30" s="16" t="s">
        <v>299</v>
      </c>
      <c r="N30" s="17">
        <v>38487</v>
      </c>
      <c r="O30" s="16">
        <v>8923607677</v>
      </c>
      <c r="P30" s="16" t="s">
        <v>287</v>
      </c>
      <c r="Q30" s="17">
        <v>45035</v>
      </c>
      <c r="R30" s="16" t="s">
        <v>305</v>
      </c>
      <c r="S30" s="16" t="s">
        <v>370</v>
      </c>
      <c r="T30" s="16" t="s">
        <v>371</v>
      </c>
    </row>
    <row r="31" spans="1:20" x14ac:dyDescent="0.25">
      <c r="A31" s="16" t="s">
        <v>77</v>
      </c>
      <c r="B31" s="16" t="s">
        <v>52</v>
      </c>
      <c r="C31" s="16" t="s">
        <v>74</v>
      </c>
      <c r="D31" s="17">
        <v>45167</v>
      </c>
      <c r="E31" s="18">
        <v>0.55208333333333337</v>
      </c>
      <c r="F31" s="16" t="s">
        <v>29</v>
      </c>
      <c r="G31" s="16" t="s">
        <v>41</v>
      </c>
      <c r="J31" s="16" t="s">
        <v>70</v>
      </c>
      <c r="K31" s="16" t="s">
        <v>291</v>
      </c>
      <c r="L31" s="16" t="s">
        <v>348</v>
      </c>
      <c r="M31" s="16" t="s">
        <v>299</v>
      </c>
      <c r="N31" s="17">
        <v>23734</v>
      </c>
      <c r="O31" s="16">
        <v>6622318721</v>
      </c>
      <c r="P31" s="16" t="s">
        <v>320</v>
      </c>
      <c r="Q31" s="17">
        <v>44415</v>
      </c>
      <c r="R31" s="16" t="s">
        <v>294</v>
      </c>
      <c r="S31" s="16" t="s">
        <v>372</v>
      </c>
      <c r="T31" s="16" t="s">
        <v>373</v>
      </c>
    </row>
    <row r="32" spans="1:20" x14ac:dyDescent="0.25">
      <c r="A32" s="16" t="s">
        <v>78</v>
      </c>
      <c r="B32" s="16" t="s">
        <v>52</v>
      </c>
      <c r="C32" s="16" t="s">
        <v>22</v>
      </c>
      <c r="D32" s="17">
        <v>45020</v>
      </c>
      <c r="E32" s="18">
        <v>0.4375</v>
      </c>
      <c r="F32" s="16" t="s">
        <v>29</v>
      </c>
      <c r="G32" s="16" t="s">
        <v>41</v>
      </c>
      <c r="J32" s="16" t="s">
        <v>97</v>
      </c>
      <c r="K32" s="16" t="s">
        <v>361</v>
      </c>
      <c r="L32" s="16" t="s">
        <v>345</v>
      </c>
      <c r="M32" s="16" t="s">
        <v>299</v>
      </c>
      <c r="N32" s="17">
        <v>31791</v>
      </c>
      <c r="O32" s="16">
        <v>8280346676</v>
      </c>
      <c r="P32" s="16" t="s">
        <v>293</v>
      </c>
      <c r="Q32" s="17">
        <v>44740</v>
      </c>
      <c r="R32" s="16" t="s">
        <v>288</v>
      </c>
      <c r="S32" s="16" t="s">
        <v>374</v>
      </c>
      <c r="T32" s="16" t="s">
        <v>375</v>
      </c>
    </row>
    <row r="33" spans="1:20" x14ac:dyDescent="0.25">
      <c r="A33" s="16" t="s">
        <v>79</v>
      </c>
      <c r="B33" s="16" t="s">
        <v>17</v>
      </c>
      <c r="C33" s="16" t="s">
        <v>74</v>
      </c>
      <c r="D33" s="17">
        <v>45236</v>
      </c>
      <c r="E33" s="18">
        <v>0.44791666666666669</v>
      </c>
      <c r="F33" s="16" t="s">
        <v>29</v>
      </c>
      <c r="G33" s="16" t="s">
        <v>11</v>
      </c>
      <c r="J33" s="16" t="s">
        <v>13</v>
      </c>
      <c r="K33" s="16" t="s">
        <v>316</v>
      </c>
      <c r="L33" s="16" t="s">
        <v>348</v>
      </c>
      <c r="M33" s="16" t="s">
        <v>299</v>
      </c>
      <c r="N33" s="17">
        <v>29594</v>
      </c>
      <c r="O33" s="16">
        <v>8102183595</v>
      </c>
      <c r="P33" s="16" t="s">
        <v>304</v>
      </c>
      <c r="Q33" s="17">
        <v>44471</v>
      </c>
      <c r="R33" s="16" t="s">
        <v>309</v>
      </c>
      <c r="S33" s="16" t="s">
        <v>376</v>
      </c>
      <c r="T33" s="16" t="s">
        <v>369</v>
      </c>
    </row>
    <row r="34" spans="1:20" x14ac:dyDescent="0.25">
      <c r="A34" s="16" t="s">
        <v>80</v>
      </c>
      <c r="B34" s="16" t="s">
        <v>81</v>
      </c>
      <c r="C34" s="16" t="s">
        <v>74</v>
      </c>
      <c r="D34" s="17">
        <v>45192</v>
      </c>
      <c r="E34" s="18">
        <v>0.73958333333333337</v>
      </c>
      <c r="F34" s="16" t="s">
        <v>10</v>
      </c>
      <c r="G34" s="16" t="s">
        <v>15</v>
      </c>
      <c r="J34" s="16" t="s">
        <v>86</v>
      </c>
      <c r="K34" s="16" t="s">
        <v>302</v>
      </c>
      <c r="L34" s="16" t="s">
        <v>308</v>
      </c>
      <c r="M34" s="16" t="s">
        <v>286</v>
      </c>
      <c r="N34" s="17">
        <v>25605</v>
      </c>
      <c r="O34" s="16">
        <v>7923214041</v>
      </c>
      <c r="P34" s="16" t="s">
        <v>287</v>
      </c>
      <c r="Q34" s="17">
        <v>45175</v>
      </c>
      <c r="R34" s="16" t="s">
        <v>309</v>
      </c>
      <c r="S34" s="16" t="s">
        <v>377</v>
      </c>
      <c r="T34" s="16" t="s">
        <v>352</v>
      </c>
    </row>
    <row r="35" spans="1:20" x14ac:dyDescent="0.25">
      <c r="A35" s="16" t="s">
        <v>82</v>
      </c>
      <c r="B35" s="16" t="s">
        <v>37</v>
      </c>
      <c r="C35" s="16" t="s">
        <v>14</v>
      </c>
      <c r="D35" s="17">
        <v>45090</v>
      </c>
      <c r="E35" s="18">
        <v>0.47916666666666669</v>
      </c>
      <c r="F35" s="16" t="s">
        <v>18</v>
      </c>
      <c r="G35" s="16" t="s">
        <v>15</v>
      </c>
      <c r="J35" s="16" t="s">
        <v>8</v>
      </c>
      <c r="K35" s="16" t="s">
        <v>316</v>
      </c>
      <c r="L35" s="16" t="s">
        <v>292</v>
      </c>
      <c r="M35" s="16" t="s">
        <v>286</v>
      </c>
      <c r="N35" s="17">
        <v>18289</v>
      </c>
      <c r="O35" s="16">
        <v>8374657733</v>
      </c>
      <c r="P35" s="16" t="s">
        <v>293</v>
      </c>
      <c r="Q35" s="17">
        <v>45095</v>
      </c>
      <c r="R35" s="16" t="s">
        <v>288</v>
      </c>
      <c r="S35" s="16" t="s">
        <v>378</v>
      </c>
      <c r="T35" s="16" t="s">
        <v>379</v>
      </c>
    </row>
    <row r="36" spans="1:20" x14ac:dyDescent="0.25">
      <c r="A36" s="16" t="s">
        <v>83</v>
      </c>
      <c r="B36" s="16" t="s">
        <v>84</v>
      </c>
      <c r="C36" s="16" t="s">
        <v>25</v>
      </c>
      <c r="D36" s="17">
        <v>45034</v>
      </c>
      <c r="E36" s="18">
        <v>0.36458333333333331</v>
      </c>
      <c r="F36" s="16" t="s">
        <v>38</v>
      </c>
      <c r="G36" s="16" t="s">
        <v>11</v>
      </c>
      <c r="J36" s="16" t="s">
        <v>125</v>
      </c>
      <c r="K36" s="16" t="s">
        <v>284</v>
      </c>
      <c r="L36" s="16" t="s">
        <v>308</v>
      </c>
      <c r="M36" s="16" t="s">
        <v>286</v>
      </c>
      <c r="N36" s="17">
        <v>34072</v>
      </c>
      <c r="O36" s="16">
        <v>7039619487</v>
      </c>
      <c r="P36" s="16" t="s">
        <v>304</v>
      </c>
      <c r="Q36" s="17">
        <v>45116</v>
      </c>
      <c r="R36" s="16" t="s">
        <v>309</v>
      </c>
      <c r="S36" s="16" t="s">
        <v>380</v>
      </c>
      <c r="T36" s="16" t="s">
        <v>311</v>
      </c>
    </row>
    <row r="37" spans="1:20" x14ac:dyDescent="0.25">
      <c r="A37" s="16" t="s">
        <v>85</v>
      </c>
      <c r="B37" s="16" t="s">
        <v>86</v>
      </c>
      <c r="C37" s="16" t="s">
        <v>25</v>
      </c>
      <c r="D37" s="17">
        <v>44934</v>
      </c>
      <c r="E37" s="18">
        <v>0.60416666666666663</v>
      </c>
      <c r="F37" s="16" t="s">
        <v>29</v>
      </c>
      <c r="G37" s="16" t="s">
        <v>15</v>
      </c>
      <c r="J37" s="16" t="s">
        <v>84</v>
      </c>
      <c r="K37" s="16" t="s">
        <v>302</v>
      </c>
      <c r="L37" s="16" t="s">
        <v>308</v>
      </c>
      <c r="M37" s="16" t="s">
        <v>299</v>
      </c>
      <c r="N37" s="17">
        <v>35790</v>
      </c>
      <c r="O37" s="16">
        <v>8545613046</v>
      </c>
      <c r="P37" s="16" t="s">
        <v>304</v>
      </c>
      <c r="Q37" s="17">
        <v>44838</v>
      </c>
      <c r="R37" s="16" t="s">
        <v>309</v>
      </c>
      <c r="S37" s="16" t="s">
        <v>381</v>
      </c>
      <c r="T37" s="16" t="s">
        <v>352</v>
      </c>
    </row>
    <row r="38" spans="1:20" x14ac:dyDescent="0.25">
      <c r="A38" s="16" t="s">
        <v>87</v>
      </c>
      <c r="B38" s="16" t="s">
        <v>70</v>
      </c>
      <c r="C38" s="16" t="s">
        <v>14</v>
      </c>
      <c r="D38" s="17">
        <v>45013</v>
      </c>
      <c r="E38" s="18">
        <v>0.45833333333333331</v>
      </c>
      <c r="F38" s="16" t="s">
        <v>18</v>
      </c>
      <c r="G38" s="16" t="s">
        <v>11</v>
      </c>
      <c r="J38" s="16" t="s">
        <v>56</v>
      </c>
      <c r="K38" s="16" t="s">
        <v>361</v>
      </c>
      <c r="L38" s="16" t="s">
        <v>285</v>
      </c>
      <c r="M38" s="16" t="s">
        <v>299</v>
      </c>
      <c r="N38" s="17">
        <v>36196</v>
      </c>
      <c r="O38" s="16">
        <v>8886800195</v>
      </c>
      <c r="P38" s="16" t="s">
        <v>320</v>
      </c>
      <c r="Q38" s="17">
        <v>44469</v>
      </c>
      <c r="R38" s="16" t="s">
        <v>305</v>
      </c>
      <c r="S38" s="16" t="s">
        <v>382</v>
      </c>
      <c r="T38" s="16" t="s">
        <v>383</v>
      </c>
    </row>
    <row r="39" spans="1:20" x14ac:dyDescent="0.25">
      <c r="A39" s="16" t="s">
        <v>88</v>
      </c>
      <c r="B39" s="16" t="s">
        <v>56</v>
      </c>
      <c r="C39" s="16" t="s">
        <v>9</v>
      </c>
      <c r="D39" s="17">
        <v>44980</v>
      </c>
      <c r="E39" s="18">
        <v>0.54166666666666663</v>
      </c>
      <c r="F39" s="16" t="s">
        <v>18</v>
      </c>
      <c r="G39" s="16" t="s">
        <v>11</v>
      </c>
      <c r="J39" s="16" t="s">
        <v>252</v>
      </c>
      <c r="K39" s="16" t="s">
        <v>284</v>
      </c>
      <c r="L39" s="16" t="s">
        <v>292</v>
      </c>
      <c r="M39" s="16" t="s">
        <v>299</v>
      </c>
      <c r="N39" s="17">
        <v>33414</v>
      </c>
      <c r="O39" s="16">
        <v>6347262390</v>
      </c>
      <c r="P39" s="16" t="s">
        <v>287</v>
      </c>
      <c r="Q39" s="17">
        <v>44305</v>
      </c>
      <c r="R39" s="16" t="s">
        <v>309</v>
      </c>
      <c r="S39" s="16" t="s">
        <v>384</v>
      </c>
      <c r="T39" s="16" t="s">
        <v>371</v>
      </c>
    </row>
    <row r="40" spans="1:20" x14ac:dyDescent="0.25">
      <c r="A40" s="16" t="s">
        <v>89</v>
      </c>
      <c r="B40" s="16" t="s">
        <v>90</v>
      </c>
      <c r="C40" s="16" t="s">
        <v>48</v>
      </c>
      <c r="D40" s="17">
        <v>45033</v>
      </c>
      <c r="E40" s="18">
        <v>0.33333333333333331</v>
      </c>
      <c r="F40" s="16" t="s">
        <v>38</v>
      </c>
      <c r="G40" s="16" t="s">
        <v>11</v>
      </c>
      <c r="J40" s="16" t="s">
        <v>37</v>
      </c>
      <c r="K40" s="16" t="s">
        <v>340</v>
      </c>
      <c r="L40" s="16" t="s">
        <v>308</v>
      </c>
      <c r="M40" s="16" t="s">
        <v>286</v>
      </c>
      <c r="N40" s="17">
        <v>18609</v>
      </c>
      <c r="O40" s="16">
        <v>9271131338</v>
      </c>
      <c r="P40" s="16" t="s">
        <v>287</v>
      </c>
      <c r="Q40" s="17">
        <v>44264</v>
      </c>
      <c r="R40" s="16" t="s">
        <v>294</v>
      </c>
      <c r="S40" s="16" t="s">
        <v>385</v>
      </c>
      <c r="T40" s="16" t="s">
        <v>386</v>
      </c>
    </row>
    <row r="41" spans="1:20" x14ac:dyDescent="0.25">
      <c r="A41" s="16" t="s">
        <v>91</v>
      </c>
      <c r="B41" s="16" t="s">
        <v>92</v>
      </c>
      <c r="C41" s="16" t="s">
        <v>9</v>
      </c>
      <c r="D41" s="17">
        <v>45012</v>
      </c>
      <c r="E41" s="18">
        <v>0.52083333333333337</v>
      </c>
      <c r="F41" s="16" t="s">
        <v>10</v>
      </c>
      <c r="G41" s="16" t="s">
        <v>41</v>
      </c>
      <c r="J41" s="16" t="s">
        <v>24</v>
      </c>
      <c r="K41" s="16" t="s">
        <v>291</v>
      </c>
      <c r="L41" s="16" t="s">
        <v>285</v>
      </c>
      <c r="M41" s="16" t="s">
        <v>299</v>
      </c>
      <c r="N41" s="17">
        <v>26449</v>
      </c>
      <c r="O41" s="16">
        <v>7587653815</v>
      </c>
      <c r="P41" s="16" t="s">
        <v>320</v>
      </c>
      <c r="Q41" s="17">
        <v>44485</v>
      </c>
      <c r="R41" s="16" t="s">
        <v>294</v>
      </c>
      <c r="S41" s="16" t="s">
        <v>387</v>
      </c>
      <c r="T41" s="16" t="s">
        <v>388</v>
      </c>
    </row>
    <row r="42" spans="1:20" x14ac:dyDescent="0.25">
      <c r="A42" s="16" t="s">
        <v>93</v>
      </c>
      <c r="B42" s="16" t="s">
        <v>40</v>
      </c>
      <c r="C42" s="16" t="s">
        <v>59</v>
      </c>
      <c r="D42" s="17">
        <v>44927</v>
      </c>
      <c r="E42" s="18">
        <v>0.58333333333333337</v>
      </c>
      <c r="F42" s="16" t="s">
        <v>26</v>
      </c>
      <c r="G42" s="16" t="s">
        <v>15</v>
      </c>
      <c r="J42" s="16" t="s">
        <v>161</v>
      </c>
      <c r="K42" s="16" t="s">
        <v>361</v>
      </c>
      <c r="L42" s="16" t="s">
        <v>285</v>
      </c>
      <c r="M42" s="16" t="s">
        <v>299</v>
      </c>
      <c r="N42" s="17">
        <v>18798</v>
      </c>
      <c r="O42" s="16">
        <v>7020645498</v>
      </c>
      <c r="P42" s="16" t="s">
        <v>320</v>
      </c>
      <c r="Q42" s="17">
        <v>44758</v>
      </c>
      <c r="R42" s="16" t="s">
        <v>288</v>
      </c>
      <c r="S42" s="16" t="s">
        <v>389</v>
      </c>
      <c r="T42" s="16" t="s">
        <v>383</v>
      </c>
    </row>
    <row r="43" spans="1:20" x14ac:dyDescent="0.25">
      <c r="A43" s="16" t="s">
        <v>94</v>
      </c>
      <c r="B43" s="16" t="s">
        <v>84</v>
      </c>
      <c r="C43" s="16" t="s">
        <v>59</v>
      </c>
      <c r="D43" s="17">
        <v>45006</v>
      </c>
      <c r="E43" s="18">
        <v>0.46875</v>
      </c>
      <c r="F43" s="16" t="s">
        <v>26</v>
      </c>
      <c r="G43" s="16" t="s">
        <v>11</v>
      </c>
      <c r="J43" s="16" t="s">
        <v>234</v>
      </c>
      <c r="K43" s="16" t="s">
        <v>340</v>
      </c>
      <c r="L43" s="16" t="s">
        <v>292</v>
      </c>
      <c r="M43" s="16" t="s">
        <v>286</v>
      </c>
      <c r="N43" s="17">
        <v>19958</v>
      </c>
      <c r="O43" s="16">
        <v>7040069008</v>
      </c>
      <c r="P43" s="16" t="s">
        <v>287</v>
      </c>
      <c r="Q43" s="17">
        <v>44635</v>
      </c>
      <c r="R43" s="16" t="s">
        <v>309</v>
      </c>
      <c r="S43" s="16" t="s">
        <v>390</v>
      </c>
      <c r="T43" s="16" t="s">
        <v>391</v>
      </c>
    </row>
    <row r="44" spans="1:20" x14ac:dyDescent="0.25">
      <c r="A44" s="16" t="s">
        <v>95</v>
      </c>
      <c r="B44" s="16" t="s">
        <v>8</v>
      </c>
      <c r="C44" s="16" t="s">
        <v>74</v>
      </c>
      <c r="D44" s="17">
        <v>45014</v>
      </c>
      <c r="E44" s="18">
        <v>0.38541666666666669</v>
      </c>
      <c r="F44" s="16" t="s">
        <v>18</v>
      </c>
      <c r="G44" s="16" t="s">
        <v>15</v>
      </c>
      <c r="J44" s="16" t="s">
        <v>129</v>
      </c>
      <c r="K44" s="16" t="s">
        <v>313</v>
      </c>
      <c r="L44" s="16" t="s">
        <v>354</v>
      </c>
      <c r="M44" s="16" t="s">
        <v>299</v>
      </c>
      <c r="N44" s="17">
        <v>29305</v>
      </c>
      <c r="O44" s="16">
        <v>9127665406</v>
      </c>
      <c r="P44" s="16" t="s">
        <v>287</v>
      </c>
      <c r="Q44" s="17">
        <v>44760</v>
      </c>
      <c r="R44" s="16" t="s">
        <v>288</v>
      </c>
      <c r="S44" s="16" t="s">
        <v>392</v>
      </c>
      <c r="T44" s="16" t="s">
        <v>393</v>
      </c>
    </row>
    <row r="45" spans="1:20" x14ac:dyDescent="0.25">
      <c r="A45" s="16" t="s">
        <v>96</v>
      </c>
      <c r="B45" s="16" t="s">
        <v>97</v>
      </c>
      <c r="C45" s="16" t="s">
        <v>22</v>
      </c>
      <c r="D45" s="17">
        <v>45189</v>
      </c>
      <c r="E45" s="18">
        <v>0.52083333333333337</v>
      </c>
      <c r="F45" s="16" t="s">
        <v>38</v>
      </c>
      <c r="G45" s="16" t="s">
        <v>41</v>
      </c>
      <c r="J45" s="16" t="s">
        <v>139</v>
      </c>
      <c r="K45" s="16" t="s">
        <v>361</v>
      </c>
      <c r="L45" s="16" t="s">
        <v>325</v>
      </c>
      <c r="M45" s="16" t="s">
        <v>286</v>
      </c>
      <c r="N45" s="17">
        <v>27830</v>
      </c>
      <c r="O45" s="16">
        <v>9449458981</v>
      </c>
      <c r="P45" s="16" t="s">
        <v>293</v>
      </c>
      <c r="Q45" s="17">
        <v>44952</v>
      </c>
      <c r="R45" s="16" t="s">
        <v>294</v>
      </c>
      <c r="S45" s="16" t="s">
        <v>394</v>
      </c>
      <c r="T45" s="16" t="s">
        <v>395</v>
      </c>
    </row>
    <row r="46" spans="1:20" x14ac:dyDescent="0.25">
      <c r="A46" s="16" t="s">
        <v>98</v>
      </c>
      <c r="B46" s="16" t="s">
        <v>92</v>
      </c>
      <c r="C46" s="16" t="s">
        <v>22</v>
      </c>
      <c r="D46" s="17">
        <v>45197</v>
      </c>
      <c r="E46" s="18">
        <v>0.70833333333333337</v>
      </c>
      <c r="F46" s="16" t="s">
        <v>26</v>
      </c>
      <c r="G46" s="16" t="s">
        <v>11</v>
      </c>
      <c r="J46" s="16" t="s">
        <v>28</v>
      </c>
      <c r="K46" s="16" t="s">
        <v>313</v>
      </c>
      <c r="L46" s="16" t="s">
        <v>345</v>
      </c>
      <c r="M46" s="16" t="s">
        <v>286</v>
      </c>
      <c r="N46" s="17">
        <v>24222</v>
      </c>
      <c r="O46" s="16">
        <v>7579616535</v>
      </c>
      <c r="P46" s="16" t="s">
        <v>293</v>
      </c>
      <c r="Q46" s="17">
        <v>44219</v>
      </c>
      <c r="R46" s="16" t="s">
        <v>309</v>
      </c>
      <c r="S46" s="16" t="s">
        <v>396</v>
      </c>
      <c r="T46" s="16" t="s">
        <v>397</v>
      </c>
    </row>
    <row r="47" spans="1:20" x14ac:dyDescent="0.25">
      <c r="A47" s="16" t="s">
        <v>99</v>
      </c>
      <c r="B47" s="16" t="s">
        <v>100</v>
      </c>
      <c r="C47" s="16" t="s">
        <v>25</v>
      </c>
      <c r="D47" s="17">
        <v>45280</v>
      </c>
      <c r="E47" s="18">
        <v>0.55208333333333337</v>
      </c>
      <c r="F47" s="16" t="s">
        <v>18</v>
      </c>
      <c r="G47" s="16" t="s">
        <v>19</v>
      </c>
      <c r="J47" s="16" t="s">
        <v>72</v>
      </c>
      <c r="K47" s="16" t="s">
        <v>302</v>
      </c>
      <c r="L47" s="16" t="s">
        <v>325</v>
      </c>
      <c r="M47" s="16" t="s">
        <v>286</v>
      </c>
      <c r="N47" s="17">
        <v>31656</v>
      </c>
      <c r="O47" s="16">
        <v>8019925828</v>
      </c>
      <c r="P47" s="16" t="s">
        <v>320</v>
      </c>
      <c r="Q47" s="17">
        <v>44408</v>
      </c>
      <c r="R47" s="16" t="s">
        <v>309</v>
      </c>
      <c r="S47" s="16" t="s">
        <v>398</v>
      </c>
      <c r="T47" s="16" t="s">
        <v>327</v>
      </c>
    </row>
    <row r="48" spans="1:20" x14ac:dyDescent="0.25">
      <c r="A48" s="16" t="s">
        <v>101</v>
      </c>
      <c r="B48" s="16" t="s">
        <v>13</v>
      </c>
      <c r="C48" s="16" t="s">
        <v>32</v>
      </c>
      <c r="D48" s="17">
        <v>45048</v>
      </c>
      <c r="E48" s="18">
        <v>0.45833333333333331</v>
      </c>
      <c r="F48" s="16" t="s">
        <v>10</v>
      </c>
      <c r="G48" s="16" t="s">
        <v>41</v>
      </c>
      <c r="J48" s="16" t="s">
        <v>66</v>
      </c>
      <c r="K48" s="16" t="s">
        <v>340</v>
      </c>
      <c r="L48" s="16" t="s">
        <v>348</v>
      </c>
      <c r="M48" s="16" t="s">
        <v>299</v>
      </c>
      <c r="N48" s="17">
        <v>35046</v>
      </c>
      <c r="O48" s="16">
        <v>8715732851</v>
      </c>
      <c r="P48" s="16" t="s">
        <v>293</v>
      </c>
      <c r="Q48" s="17">
        <v>44701</v>
      </c>
      <c r="R48" s="16" t="s">
        <v>288</v>
      </c>
      <c r="S48" s="16" t="s">
        <v>399</v>
      </c>
      <c r="T48" s="16" t="s">
        <v>350</v>
      </c>
    </row>
    <row r="49" spans="1:20" x14ac:dyDescent="0.25">
      <c r="A49" s="16" t="s">
        <v>102</v>
      </c>
      <c r="B49" s="16" t="s">
        <v>31</v>
      </c>
      <c r="C49" s="16" t="s">
        <v>9</v>
      </c>
      <c r="D49" s="17">
        <v>44942</v>
      </c>
      <c r="E49" s="18">
        <v>0.65625</v>
      </c>
      <c r="F49" s="16" t="s">
        <v>26</v>
      </c>
      <c r="G49" s="16" t="s">
        <v>19</v>
      </c>
      <c r="J49" s="16" t="s">
        <v>17</v>
      </c>
      <c r="K49" s="16" t="s">
        <v>291</v>
      </c>
      <c r="L49" s="16" t="s">
        <v>345</v>
      </c>
      <c r="M49" s="16" t="s">
        <v>299</v>
      </c>
      <c r="N49" s="17">
        <v>30399</v>
      </c>
      <c r="O49" s="16">
        <v>8720989381</v>
      </c>
      <c r="P49" s="16" t="s">
        <v>304</v>
      </c>
      <c r="Q49" s="17">
        <v>45096</v>
      </c>
      <c r="R49" s="16" t="s">
        <v>294</v>
      </c>
      <c r="S49" s="16" t="s">
        <v>400</v>
      </c>
      <c r="T49" s="16" t="s">
        <v>401</v>
      </c>
    </row>
    <row r="50" spans="1:20" x14ac:dyDescent="0.25">
      <c r="A50" s="16" t="s">
        <v>103</v>
      </c>
      <c r="B50" s="16" t="s">
        <v>40</v>
      </c>
      <c r="C50" s="16" t="s">
        <v>35</v>
      </c>
      <c r="D50" s="17">
        <v>45046</v>
      </c>
      <c r="E50" s="18">
        <v>0.64583333333333337</v>
      </c>
      <c r="F50" s="16" t="s">
        <v>18</v>
      </c>
      <c r="G50" s="16" t="s">
        <v>15</v>
      </c>
      <c r="J50" s="16" t="s">
        <v>68</v>
      </c>
      <c r="K50" s="16" t="s">
        <v>284</v>
      </c>
      <c r="L50" s="16" t="s">
        <v>348</v>
      </c>
      <c r="M50" s="16" t="s">
        <v>299</v>
      </c>
      <c r="N50" s="17">
        <v>26629</v>
      </c>
      <c r="O50" s="16">
        <v>7712937941</v>
      </c>
      <c r="P50" s="16" t="s">
        <v>293</v>
      </c>
      <c r="Q50" s="17">
        <v>45091</v>
      </c>
      <c r="R50" s="16" t="s">
        <v>309</v>
      </c>
      <c r="S50" s="16" t="s">
        <v>402</v>
      </c>
      <c r="T50" s="16" t="s">
        <v>403</v>
      </c>
    </row>
    <row r="51" spans="1:20" x14ac:dyDescent="0.25">
      <c r="A51" s="16" t="s">
        <v>104</v>
      </c>
      <c r="B51" s="16" t="s">
        <v>28</v>
      </c>
      <c r="C51" s="16" t="s">
        <v>54</v>
      </c>
      <c r="D51" s="17">
        <v>45154</v>
      </c>
      <c r="E51" s="18">
        <v>0.625</v>
      </c>
      <c r="F51" s="16" t="s">
        <v>18</v>
      </c>
      <c r="G51" s="16" t="s">
        <v>15</v>
      </c>
      <c r="J51" s="16" t="s">
        <v>123</v>
      </c>
      <c r="K51" s="16" t="s">
        <v>297</v>
      </c>
      <c r="L51" s="16" t="s">
        <v>308</v>
      </c>
      <c r="M51" s="16" t="s">
        <v>299</v>
      </c>
      <c r="N51" s="17">
        <v>34330</v>
      </c>
      <c r="O51" s="16">
        <v>8301134730</v>
      </c>
      <c r="P51" s="16" t="s">
        <v>293</v>
      </c>
      <c r="Q51" s="17">
        <v>45044</v>
      </c>
      <c r="R51" s="16" t="s">
        <v>288</v>
      </c>
      <c r="S51" s="16" t="s">
        <v>404</v>
      </c>
      <c r="T51" s="16" t="s">
        <v>344</v>
      </c>
    </row>
    <row r="52" spans="1:20" x14ac:dyDescent="0.25">
      <c r="A52" s="16" t="s">
        <v>105</v>
      </c>
      <c r="B52" s="16" t="s">
        <v>106</v>
      </c>
      <c r="C52" s="16" t="s">
        <v>22</v>
      </c>
      <c r="D52" s="17">
        <v>44961</v>
      </c>
      <c r="E52" s="18">
        <v>0.48958333333333331</v>
      </c>
      <c r="F52" s="16" t="s">
        <v>29</v>
      </c>
      <c r="G52" s="16" t="s">
        <v>41</v>
      </c>
    </row>
    <row r="53" spans="1:20" x14ac:dyDescent="0.25">
      <c r="A53" s="16" t="s">
        <v>107</v>
      </c>
      <c r="B53" s="16" t="s">
        <v>34</v>
      </c>
      <c r="C53" s="16" t="s">
        <v>54</v>
      </c>
      <c r="D53" s="17">
        <v>45119</v>
      </c>
      <c r="E53" s="18">
        <v>0.39583333333333331</v>
      </c>
      <c r="F53" s="16" t="s">
        <v>10</v>
      </c>
      <c r="G53" s="16" t="s">
        <v>15</v>
      </c>
    </row>
    <row r="54" spans="1:20" x14ac:dyDescent="0.25">
      <c r="A54" s="16" t="s">
        <v>108</v>
      </c>
      <c r="B54" s="16" t="s">
        <v>109</v>
      </c>
      <c r="C54" s="16" t="s">
        <v>74</v>
      </c>
      <c r="D54" s="17">
        <v>44969</v>
      </c>
      <c r="E54" s="18">
        <v>0.4375</v>
      </c>
      <c r="F54" s="16" t="s">
        <v>29</v>
      </c>
      <c r="G54" s="16" t="s">
        <v>19</v>
      </c>
    </row>
    <row r="55" spans="1:20" x14ac:dyDescent="0.25">
      <c r="A55" s="16" t="s">
        <v>110</v>
      </c>
      <c r="B55" s="16" t="s">
        <v>34</v>
      </c>
      <c r="C55" s="16" t="s">
        <v>54</v>
      </c>
      <c r="D55" s="17">
        <v>45276</v>
      </c>
      <c r="E55" s="18">
        <v>0.48958333333333331</v>
      </c>
      <c r="F55" s="16" t="s">
        <v>38</v>
      </c>
      <c r="G55" s="16" t="s">
        <v>11</v>
      </c>
    </row>
    <row r="56" spans="1:20" x14ac:dyDescent="0.25">
      <c r="A56" s="16" t="s">
        <v>111</v>
      </c>
      <c r="B56" s="16" t="s">
        <v>112</v>
      </c>
      <c r="C56" s="16" t="s">
        <v>35</v>
      </c>
      <c r="D56" s="17">
        <v>45205</v>
      </c>
      <c r="E56" s="18">
        <v>0.72916666666666663</v>
      </c>
      <c r="F56" s="16" t="s">
        <v>29</v>
      </c>
      <c r="G56" s="16" t="s">
        <v>11</v>
      </c>
    </row>
    <row r="57" spans="1:20" x14ac:dyDescent="0.25">
      <c r="A57" s="16" t="s">
        <v>113</v>
      </c>
      <c r="B57" s="16" t="s">
        <v>68</v>
      </c>
      <c r="C57" s="16" t="s">
        <v>14</v>
      </c>
      <c r="D57" s="17">
        <v>44928</v>
      </c>
      <c r="E57" s="18">
        <v>0.53125</v>
      </c>
      <c r="F57" s="16" t="s">
        <v>29</v>
      </c>
      <c r="G57" s="16" t="s">
        <v>11</v>
      </c>
    </row>
    <row r="58" spans="1:20" x14ac:dyDescent="0.25">
      <c r="A58" s="16" t="s">
        <v>114</v>
      </c>
      <c r="B58" s="16" t="s">
        <v>63</v>
      </c>
      <c r="C58" s="16" t="s">
        <v>35</v>
      </c>
      <c r="D58" s="17">
        <v>45031</v>
      </c>
      <c r="E58" s="18">
        <v>0.73958333333333337</v>
      </c>
      <c r="F58" s="16" t="s">
        <v>26</v>
      </c>
      <c r="G58" s="16" t="s">
        <v>41</v>
      </c>
    </row>
    <row r="59" spans="1:20" x14ac:dyDescent="0.25">
      <c r="A59" s="16" t="s">
        <v>115</v>
      </c>
      <c r="B59" s="16" t="s">
        <v>13</v>
      </c>
      <c r="C59" s="16" t="s">
        <v>54</v>
      </c>
      <c r="D59" s="17">
        <v>45055</v>
      </c>
      <c r="E59" s="18">
        <v>0.55208333333333337</v>
      </c>
      <c r="F59" s="16" t="s">
        <v>18</v>
      </c>
      <c r="G59" s="16" t="s">
        <v>15</v>
      </c>
    </row>
    <row r="60" spans="1:20" x14ac:dyDescent="0.25">
      <c r="A60" s="16" t="s">
        <v>116</v>
      </c>
      <c r="B60" s="16" t="s">
        <v>117</v>
      </c>
      <c r="C60" s="16" t="s">
        <v>35</v>
      </c>
      <c r="D60" s="17">
        <v>44994</v>
      </c>
      <c r="E60" s="18">
        <v>0.64583333333333337</v>
      </c>
      <c r="F60" s="16" t="s">
        <v>10</v>
      </c>
      <c r="G60" s="16" t="s">
        <v>19</v>
      </c>
    </row>
    <row r="61" spans="1:20" x14ac:dyDescent="0.25">
      <c r="A61" s="16" t="s">
        <v>118</v>
      </c>
      <c r="B61" s="16" t="s">
        <v>119</v>
      </c>
      <c r="C61" s="16" t="s">
        <v>48</v>
      </c>
      <c r="D61" s="17">
        <v>45252</v>
      </c>
      <c r="E61" s="18">
        <v>0.71875</v>
      </c>
      <c r="F61" s="16" t="s">
        <v>29</v>
      </c>
      <c r="G61" s="16" t="s">
        <v>15</v>
      </c>
    </row>
    <row r="62" spans="1:20" x14ac:dyDescent="0.25">
      <c r="A62" s="16" t="s">
        <v>120</v>
      </c>
      <c r="B62" s="16" t="s">
        <v>109</v>
      </c>
      <c r="C62" s="16" t="s">
        <v>74</v>
      </c>
      <c r="D62" s="17">
        <v>44941</v>
      </c>
      <c r="E62" s="18">
        <v>0.70833333333333337</v>
      </c>
      <c r="F62" s="16" t="s">
        <v>10</v>
      </c>
      <c r="G62" s="16" t="s">
        <v>15</v>
      </c>
    </row>
    <row r="63" spans="1:20" x14ac:dyDescent="0.25">
      <c r="A63" s="16" t="s">
        <v>121</v>
      </c>
      <c r="B63" s="16" t="s">
        <v>50</v>
      </c>
      <c r="C63" s="16" t="s">
        <v>9</v>
      </c>
      <c r="D63" s="17">
        <v>45091</v>
      </c>
      <c r="E63" s="18">
        <v>0.63541666666666663</v>
      </c>
      <c r="F63" s="16" t="s">
        <v>29</v>
      </c>
      <c r="G63" s="16" t="s">
        <v>15</v>
      </c>
    </row>
    <row r="64" spans="1:20" x14ac:dyDescent="0.25">
      <c r="A64" s="16" t="s">
        <v>122</v>
      </c>
      <c r="B64" s="16" t="s">
        <v>123</v>
      </c>
      <c r="C64" s="16" t="s">
        <v>14</v>
      </c>
      <c r="D64" s="17">
        <v>45106</v>
      </c>
      <c r="E64" s="18">
        <v>0.375</v>
      </c>
      <c r="F64" s="16" t="s">
        <v>38</v>
      </c>
      <c r="G64" s="16" t="s">
        <v>11</v>
      </c>
    </row>
    <row r="65" spans="1:7" x14ac:dyDescent="0.25">
      <c r="A65" s="16" t="s">
        <v>124</v>
      </c>
      <c r="B65" s="16" t="s">
        <v>125</v>
      </c>
      <c r="C65" s="16" t="s">
        <v>22</v>
      </c>
      <c r="D65" s="17">
        <v>45077</v>
      </c>
      <c r="E65" s="18">
        <v>0.35416666666666669</v>
      </c>
      <c r="F65" s="16" t="s">
        <v>29</v>
      </c>
      <c r="G65" s="16" t="s">
        <v>19</v>
      </c>
    </row>
    <row r="66" spans="1:7" x14ac:dyDescent="0.25">
      <c r="A66" s="16" t="s">
        <v>126</v>
      </c>
      <c r="B66" s="16" t="s">
        <v>86</v>
      </c>
      <c r="C66" s="16" t="s">
        <v>59</v>
      </c>
      <c r="D66" s="17">
        <v>45040</v>
      </c>
      <c r="E66" s="18">
        <v>0.65625</v>
      </c>
      <c r="F66" s="16" t="s">
        <v>26</v>
      </c>
      <c r="G66" s="16" t="s">
        <v>19</v>
      </c>
    </row>
    <row r="67" spans="1:7" x14ac:dyDescent="0.25">
      <c r="A67" s="16" t="s">
        <v>127</v>
      </c>
      <c r="B67" s="16" t="s">
        <v>86</v>
      </c>
      <c r="C67" s="16" t="s">
        <v>9</v>
      </c>
      <c r="D67" s="17">
        <v>45056</v>
      </c>
      <c r="E67" s="18">
        <v>0.48958333333333331</v>
      </c>
      <c r="F67" s="16" t="s">
        <v>18</v>
      </c>
      <c r="G67" s="16" t="s">
        <v>15</v>
      </c>
    </row>
    <row r="68" spans="1:7" x14ac:dyDescent="0.25">
      <c r="A68" s="16" t="s">
        <v>128</v>
      </c>
      <c r="B68" s="16" t="s">
        <v>129</v>
      </c>
      <c r="C68" s="16" t="s">
        <v>59</v>
      </c>
      <c r="D68" s="17">
        <v>45148</v>
      </c>
      <c r="E68" s="18">
        <v>0.45833333333333331</v>
      </c>
      <c r="F68" s="16" t="s">
        <v>38</v>
      </c>
      <c r="G68" s="16" t="s">
        <v>11</v>
      </c>
    </row>
    <row r="69" spans="1:7" x14ac:dyDescent="0.25">
      <c r="A69" s="16" t="s">
        <v>130</v>
      </c>
      <c r="B69" s="16" t="s">
        <v>56</v>
      </c>
      <c r="C69" s="16" t="s">
        <v>74</v>
      </c>
      <c r="D69" s="17">
        <v>44999</v>
      </c>
      <c r="E69" s="18">
        <v>0.625</v>
      </c>
      <c r="F69" s="16" t="s">
        <v>29</v>
      </c>
      <c r="G69" s="16" t="s">
        <v>11</v>
      </c>
    </row>
    <row r="70" spans="1:7" x14ac:dyDescent="0.25">
      <c r="A70" s="16" t="s">
        <v>131</v>
      </c>
      <c r="B70" s="16" t="s">
        <v>50</v>
      </c>
      <c r="C70" s="16" t="s">
        <v>14</v>
      </c>
      <c r="D70" s="17">
        <v>45014</v>
      </c>
      <c r="E70" s="18">
        <v>0.64583333333333337</v>
      </c>
      <c r="F70" s="16" t="s">
        <v>10</v>
      </c>
      <c r="G70" s="16" t="s">
        <v>19</v>
      </c>
    </row>
    <row r="71" spans="1:7" x14ac:dyDescent="0.25">
      <c r="A71" s="16" t="s">
        <v>132</v>
      </c>
      <c r="B71" s="16" t="s">
        <v>47</v>
      </c>
      <c r="C71" s="16" t="s">
        <v>25</v>
      </c>
      <c r="D71" s="17">
        <v>45164</v>
      </c>
      <c r="E71" s="18">
        <v>0.70833333333333337</v>
      </c>
      <c r="F71" s="16" t="s">
        <v>38</v>
      </c>
      <c r="G71" s="16" t="s">
        <v>11</v>
      </c>
    </row>
    <row r="72" spans="1:7" x14ac:dyDescent="0.25">
      <c r="A72" s="16" t="s">
        <v>133</v>
      </c>
      <c r="B72" s="16" t="s">
        <v>31</v>
      </c>
      <c r="C72" s="16" t="s">
        <v>22</v>
      </c>
      <c r="D72" s="17">
        <v>44952</v>
      </c>
      <c r="E72" s="18">
        <v>0.70833333333333337</v>
      </c>
      <c r="F72" s="16" t="s">
        <v>38</v>
      </c>
      <c r="G72" s="16" t="s">
        <v>11</v>
      </c>
    </row>
    <row r="73" spans="1:7" x14ac:dyDescent="0.25">
      <c r="A73" s="16" t="s">
        <v>134</v>
      </c>
      <c r="B73" s="16" t="s">
        <v>86</v>
      </c>
      <c r="C73" s="16" t="s">
        <v>48</v>
      </c>
      <c r="D73" s="17">
        <v>45089</v>
      </c>
      <c r="E73" s="18">
        <v>0.5625</v>
      </c>
      <c r="F73" s="16" t="s">
        <v>29</v>
      </c>
      <c r="G73" s="16" t="s">
        <v>11</v>
      </c>
    </row>
    <row r="74" spans="1:7" x14ac:dyDescent="0.25">
      <c r="A74" s="16" t="s">
        <v>135</v>
      </c>
      <c r="B74" s="16" t="s">
        <v>24</v>
      </c>
      <c r="C74" s="16" t="s">
        <v>25</v>
      </c>
      <c r="D74" s="17">
        <v>45284</v>
      </c>
      <c r="E74" s="18">
        <v>0.625</v>
      </c>
      <c r="F74" s="16" t="s">
        <v>38</v>
      </c>
      <c r="G74" s="16" t="s">
        <v>41</v>
      </c>
    </row>
    <row r="75" spans="1:7" x14ac:dyDescent="0.25">
      <c r="A75" s="16" t="s">
        <v>136</v>
      </c>
      <c r="B75" s="16" t="s">
        <v>92</v>
      </c>
      <c r="C75" s="16" t="s">
        <v>74</v>
      </c>
      <c r="D75" s="17">
        <v>45130</v>
      </c>
      <c r="E75" s="18">
        <v>0.5625</v>
      </c>
      <c r="F75" s="16" t="s">
        <v>10</v>
      </c>
      <c r="G75" s="16" t="s">
        <v>15</v>
      </c>
    </row>
    <row r="76" spans="1:7" x14ac:dyDescent="0.25">
      <c r="A76" s="16" t="s">
        <v>137</v>
      </c>
      <c r="B76" s="16" t="s">
        <v>129</v>
      </c>
      <c r="C76" s="16" t="s">
        <v>9</v>
      </c>
      <c r="D76" s="17">
        <v>45054</v>
      </c>
      <c r="E76" s="18">
        <v>0.58333333333333337</v>
      </c>
      <c r="F76" s="16" t="s">
        <v>38</v>
      </c>
      <c r="G76" s="16" t="s">
        <v>19</v>
      </c>
    </row>
    <row r="77" spans="1:7" x14ac:dyDescent="0.25">
      <c r="A77" s="16" t="s">
        <v>138</v>
      </c>
      <c r="B77" s="16" t="s">
        <v>139</v>
      </c>
      <c r="C77" s="16" t="s">
        <v>48</v>
      </c>
      <c r="D77" s="17">
        <v>45257</v>
      </c>
      <c r="E77" s="18">
        <v>0.5</v>
      </c>
      <c r="F77" s="16" t="s">
        <v>10</v>
      </c>
      <c r="G77" s="16" t="s">
        <v>19</v>
      </c>
    </row>
    <row r="78" spans="1:7" x14ac:dyDescent="0.25">
      <c r="A78" s="16" t="s">
        <v>140</v>
      </c>
      <c r="B78" s="16" t="s">
        <v>45</v>
      </c>
      <c r="C78" s="16" t="s">
        <v>35</v>
      </c>
      <c r="D78" s="17">
        <v>45274</v>
      </c>
      <c r="E78" s="18">
        <v>0.71875</v>
      </c>
      <c r="F78" s="16" t="s">
        <v>29</v>
      </c>
      <c r="G78" s="16" t="s">
        <v>41</v>
      </c>
    </row>
    <row r="79" spans="1:7" x14ac:dyDescent="0.25">
      <c r="A79" s="16" t="s">
        <v>141</v>
      </c>
      <c r="B79" s="16" t="s">
        <v>142</v>
      </c>
      <c r="C79" s="16" t="s">
        <v>54</v>
      </c>
      <c r="D79" s="17">
        <v>45186</v>
      </c>
      <c r="E79" s="18">
        <v>0.46875</v>
      </c>
      <c r="F79" s="16" t="s">
        <v>18</v>
      </c>
      <c r="G79" s="16" t="s">
        <v>15</v>
      </c>
    </row>
    <row r="80" spans="1:7" x14ac:dyDescent="0.25">
      <c r="A80" s="16" t="s">
        <v>143</v>
      </c>
      <c r="B80" s="16" t="s">
        <v>50</v>
      </c>
      <c r="C80" s="16" t="s">
        <v>48</v>
      </c>
      <c r="D80" s="17">
        <v>45286</v>
      </c>
      <c r="E80" s="18">
        <v>0.58333333333333337</v>
      </c>
      <c r="F80" s="16" t="s">
        <v>38</v>
      </c>
      <c r="G80" s="16" t="s">
        <v>19</v>
      </c>
    </row>
    <row r="81" spans="1:7" x14ac:dyDescent="0.25">
      <c r="A81" s="16" t="s">
        <v>144</v>
      </c>
      <c r="B81" s="16" t="s">
        <v>97</v>
      </c>
      <c r="C81" s="16" t="s">
        <v>74</v>
      </c>
      <c r="D81" s="17">
        <v>45103</v>
      </c>
      <c r="E81" s="18">
        <v>0.35416666666666669</v>
      </c>
      <c r="F81" s="16" t="s">
        <v>18</v>
      </c>
      <c r="G81" s="16" t="s">
        <v>11</v>
      </c>
    </row>
    <row r="82" spans="1:7" x14ac:dyDescent="0.25">
      <c r="A82" s="16" t="s">
        <v>145</v>
      </c>
      <c r="B82" s="16" t="s">
        <v>72</v>
      </c>
      <c r="C82" s="16" t="s">
        <v>32</v>
      </c>
      <c r="D82" s="17">
        <v>44932</v>
      </c>
      <c r="E82" s="18">
        <v>0.5625</v>
      </c>
      <c r="F82" s="16" t="s">
        <v>10</v>
      </c>
      <c r="G82" s="16" t="s">
        <v>19</v>
      </c>
    </row>
    <row r="83" spans="1:7" x14ac:dyDescent="0.25">
      <c r="A83" s="16" t="s">
        <v>146</v>
      </c>
      <c r="B83" s="16" t="s">
        <v>112</v>
      </c>
      <c r="C83" s="16" t="s">
        <v>54</v>
      </c>
      <c r="D83" s="17">
        <v>44946</v>
      </c>
      <c r="E83" s="18">
        <v>0.44791666666666669</v>
      </c>
      <c r="F83" s="16" t="s">
        <v>38</v>
      </c>
      <c r="G83" s="16" t="s">
        <v>11</v>
      </c>
    </row>
    <row r="84" spans="1:7" x14ac:dyDescent="0.25">
      <c r="A84" s="16" t="s">
        <v>147</v>
      </c>
      <c r="B84" s="16" t="s">
        <v>123</v>
      </c>
      <c r="C84" s="16" t="s">
        <v>59</v>
      </c>
      <c r="D84" s="17">
        <v>45237</v>
      </c>
      <c r="E84" s="18">
        <v>0.52083333333333337</v>
      </c>
      <c r="F84" s="16" t="s">
        <v>26</v>
      </c>
      <c r="G84" s="16" t="s">
        <v>41</v>
      </c>
    </row>
    <row r="85" spans="1:7" x14ac:dyDescent="0.25">
      <c r="A85" s="16" t="s">
        <v>148</v>
      </c>
      <c r="B85" s="16" t="s">
        <v>125</v>
      </c>
      <c r="C85" s="16" t="s">
        <v>22</v>
      </c>
      <c r="D85" s="17">
        <v>45077</v>
      </c>
      <c r="E85" s="18">
        <v>0.66666666666666663</v>
      </c>
      <c r="F85" s="16" t="s">
        <v>18</v>
      </c>
      <c r="G85" s="16" t="s">
        <v>11</v>
      </c>
    </row>
    <row r="86" spans="1:7" x14ac:dyDescent="0.25">
      <c r="A86" s="16" t="s">
        <v>149</v>
      </c>
      <c r="B86" s="16" t="s">
        <v>90</v>
      </c>
      <c r="C86" s="16" t="s">
        <v>59</v>
      </c>
      <c r="D86" s="17">
        <v>44975</v>
      </c>
      <c r="E86" s="18">
        <v>0.67708333333333337</v>
      </c>
      <c r="F86" s="16" t="s">
        <v>38</v>
      </c>
      <c r="G86" s="16" t="s">
        <v>19</v>
      </c>
    </row>
    <row r="87" spans="1:7" x14ac:dyDescent="0.25">
      <c r="A87" s="16" t="s">
        <v>150</v>
      </c>
      <c r="B87" s="16" t="s">
        <v>151</v>
      </c>
      <c r="C87" s="16" t="s">
        <v>48</v>
      </c>
      <c r="D87" s="17">
        <v>45228</v>
      </c>
      <c r="E87" s="18">
        <v>0.45833333333333331</v>
      </c>
      <c r="F87" s="16" t="s">
        <v>18</v>
      </c>
      <c r="G87" s="16" t="s">
        <v>19</v>
      </c>
    </row>
    <row r="88" spans="1:7" x14ac:dyDescent="0.25">
      <c r="A88" s="16" t="s">
        <v>152</v>
      </c>
      <c r="B88" s="16" t="s">
        <v>52</v>
      </c>
      <c r="C88" s="16" t="s">
        <v>59</v>
      </c>
      <c r="D88" s="17">
        <v>45218</v>
      </c>
      <c r="E88" s="18">
        <v>0.51041666666666663</v>
      </c>
      <c r="F88" s="16" t="s">
        <v>38</v>
      </c>
      <c r="G88" s="16" t="s">
        <v>19</v>
      </c>
    </row>
    <row r="89" spans="1:7" x14ac:dyDescent="0.25">
      <c r="A89" s="16" t="s">
        <v>153</v>
      </c>
      <c r="B89" s="16" t="s">
        <v>154</v>
      </c>
      <c r="C89" s="16" t="s">
        <v>74</v>
      </c>
      <c r="D89" s="17">
        <v>45048</v>
      </c>
      <c r="E89" s="18">
        <v>0.6875</v>
      </c>
      <c r="F89" s="16" t="s">
        <v>29</v>
      </c>
      <c r="G89" s="16" t="s">
        <v>41</v>
      </c>
    </row>
    <row r="90" spans="1:7" x14ac:dyDescent="0.25">
      <c r="A90" s="16" t="s">
        <v>155</v>
      </c>
      <c r="B90" s="16" t="s">
        <v>45</v>
      </c>
      <c r="C90" s="16" t="s">
        <v>35</v>
      </c>
      <c r="D90" s="17">
        <v>44971</v>
      </c>
      <c r="E90" s="18">
        <v>0.45833333333333331</v>
      </c>
      <c r="F90" s="16" t="s">
        <v>18</v>
      </c>
      <c r="G90" s="16" t="s">
        <v>41</v>
      </c>
    </row>
    <row r="91" spans="1:7" x14ac:dyDescent="0.25">
      <c r="A91" s="16" t="s">
        <v>156</v>
      </c>
      <c r="B91" s="16" t="s">
        <v>52</v>
      </c>
      <c r="C91" s="16" t="s">
        <v>9</v>
      </c>
      <c r="D91" s="17">
        <v>45078</v>
      </c>
      <c r="E91" s="18">
        <v>0.72916666666666663</v>
      </c>
      <c r="F91" s="16" t="s">
        <v>26</v>
      </c>
      <c r="G91" s="16" t="s">
        <v>15</v>
      </c>
    </row>
    <row r="92" spans="1:7" x14ac:dyDescent="0.25">
      <c r="A92" s="16" t="s">
        <v>157</v>
      </c>
      <c r="B92" s="16" t="s">
        <v>92</v>
      </c>
      <c r="C92" s="16" t="s">
        <v>22</v>
      </c>
      <c r="D92" s="17">
        <v>45088</v>
      </c>
      <c r="E92" s="18">
        <v>0.55208333333333337</v>
      </c>
      <c r="F92" s="16" t="s">
        <v>26</v>
      </c>
      <c r="G92" s="16" t="s">
        <v>19</v>
      </c>
    </row>
    <row r="93" spans="1:7" x14ac:dyDescent="0.25">
      <c r="A93" s="16" t="s">
        <v>158</v>
      </c>
      <c r="B93" s="16" t="s">
        <v>52</v>
      </c>
      <c r="C93" s="16" t="s">
        <v>59</v>
      </c>
      <c r="D93" s="17">
        <v>44956</v>
      </c>
      <c r="E93" s="18">
        <v>0.59375</v>
      </c>
      <c r="F93" s="16" t="s">
        <v>10</v>
      </c>
      <c r="G93" s="16" t="s">
        <v>11</v>
      </c>
    </row>
    <row r="94" spans="1:7" x14ac:dyDescent="0.25">
      <c r="A94" s="16" t="s">
        <v>159</v>
      </c>
      <c r="B94" s="16" t="s">
        <v>8</v>
      </c>
      <c r="C94" s="16" t="s">
        <v>59</v>
      </c>
      <c r="D94" s="17">
        <v>45025</v>
      </c>
      <c r="E94" s="18">
        <v>0.39583333333333331</v>
      </c>
      <c r="F94" s="16" t="s">
        <v>38</v>
      </c>
      <c r="G94" s="16" t="s">
        <v>41</v>
      </c>
    </row>
    <row r="95" spans="1:7" x14ac:dyDescent="0.25">
      <c r="A95" s="16" t="s">
        <v>160</v>
      </c>
      <c r="B95" s="16" t="s">
        <v>161</v>
      </c>
      <c r="C95" s="16" t="s">
        <v>48</v>
      </c>
      <c r="D95" s="17">
        <v>45024</v>
      </c>
      <c r="E95" s="18">
        <v>0.36458333333333331</v>
      </c>
      <c r="F95" s="16" t="s">
        <v>18</v>
      </c>
      <c r="G95" s="16" t="s">
        <v>19</v>
      </c>
    </row>
    <row r="96" spans="1:7" x14ac:dyDescent="0.25">
      <c r="A96" s="16" t="s">
        <v>162</v>
      </c>
      <c r="B96" s="16" t="s">
        <v>163</v>
      </c>
      <c r="C96" s="16" t="s">
        <v>9</v>
      </c>
      <c r="D96" s="17">
        <v>45055</v>
      </c>
      <c r="E96" s="18">
        <v>0.42708333333333331</v>
      </c>
      <c r="F96" s="16" t="s">
        <v>10</v>
      </c>
      <c r="G96" s="16" t="s">
        <v>19</v>
      </c>
    </row>
    <row r="97" spans="1:7" x14ac:dyDescent="0.25">
      <c r="A97" s="16" t="s">
        <v>164</v>
      </c>
      <c r="B97" s="16" t="s">
        <v>106</v>
      </c>
      <c r="C97" s="16" t="s">
        <v>25</v>
      </c>
      <c r="D97" s="17">
        <v>45114</v>
      </c>
      <c r="E97" s="18">
        <v>0.625</v>
      </c>
      <c r="F97" s="16" t="s">
        <v>18</v>
      </c>
      <c r="G97" s="16" t="s">
        <v>41</v>
      </c>
    </row>
    <row r="98" spans="1:7" x14ac:dyDescent="0.25">
      <c r="A98" s="16" t="s">
        <v>165</v>
      </c>
      <c r="B98" s="16" t="s">
        <v>123</v>
      </c>
      <c r="C98" s="16" t="s">
        <v>59</v>
      </c>
      <c r="D98" s="17">
        <v>45052</v>
      </c>
      <c r="E98" s="18">
        <v>0.61458333333333337</v>
      </c>
      <c r="F98" s="16" t="s">
        <v>38</v>
      </c>
      <c r="G98" s="16" t="s">
        <v>15</v>
      </c>
    </row>
    <row r="99" spans="1:7" x14ac:dyDescent="0.25">
      <c r="A99" s="16" t="s">
        <v>166</v>
      </c>
      <c r="B99" s="16" t="s">
        <v>28</v>
      </c>
      <c r="C99" s="16" t="s">
        <v>74</v>
      </c>
      <c r="D99" s="17">
        <v>45002</v>
      </c>
      <c r="E99" s="18">
        <v>0.54166666666666663</v>
      </c>
      <c r="F99" s="16" t="s">
        <v>26</v>
      </c>
      <c r="G99" s="16" t="s">
        <v>41</v>
      </c>
    </row>
    <row r="100" spans="1:7" x14ac:dyDescent="0.25">
      <c r="A100" s="16" t="s">
        <v>167</v>
      </c>
      <c r="B100" s="16" t="s">
        <v>168</v>
      </c>
      <c r="C100" s="16" t="s">
        <v>32</v>
      </c>
      <c r="D100" s="17">
        <v>45111</v>
      </c>
      <c r="E100" s="18">
        <v>0.625</v>
      </c>
      <c r="F100" s="16" t="s">
        <v>29</v>
      </c>
      <c r="G100" s="16" t="s">
        <v>41</v>
      </c>
    </row>
    <row r="101" spans="1:7" x14ac:dyDescent="0.25">
      <c r="A101" s="16" t="s">
        <v>169</v>
      </c>
      <c r="B101" s="16" t="s">
        <v>45</v>
      </c>
      <c r="C101" s="16" t="s">
        <v>22</v>
      </c>
      <c r="D101" s="17">
        <v>44987</v>
      </c>
      <c r="E101" s="18">
        <v>0.33333333333333331</v>
      </c>
      <c r="F101" s="16" t="s">
        <v>26</v>
      </c>
      <c r="G101" s="16" t="s">
        <v>11</v>
      </c>
    </row>
    <row r="102" spans="1:7" x14ac:dyDescent="0.25">
      <c r="A102" s="16" t="s">
        <v>170</v>
      </c>
      <c r="B102" s="16" t="s">
        <v>84</v>
      </c>
      <c r="C102" s="16" t="s">
        <v>59</v>
      </c>
      <c r="D102" s="17">
        <v>45190</v>
      </c>
      <c r="E102" s="18">
        <v>0.55208333333333337</v>
      </c>
      <c r="F102" s="16" t="s">
        <v>10</v>
      </c>
      <c r="G102" s="16" t="s">
        <v>11</v>
      </c>
    </row>
    <row r="103" spans="1:7" x14ac:dyDescent="0.25">
      <c r="A103" s="16" t="s">
        <v>171</v>
      </c>
      <c r="B103" s="16" t="s">
        <v>21</v>
      </c>
      <c r="C103" s="16" t="s">
        <v>74</v>
      </c>
      <c r="D103" s="17">
        <v>45224</v>
      </c>
      <c r="E103" s="18">
        <v>0.375</v>
      </c>
      <c r="F103" s="16" t="s">
        <v>29</v>
      </c>
      <c r="G103" s="16" t="s">
        <v>15</v>
      </c>
    </row>
    <row r="104" spans="1:7" x14ac:dyDescent="0.25">
      <c r="A104" s="16" t="s">
        <v>172</v>
      </c>
      <c r="B104" s="16" t="s">
        <v>81</v>
      </c>
      <c r="C104" s="16" t="s">
        <v>74</v>
      </c>
      <c r="D104" s="17">
        <v>44950</v>
      </c>
      <c r="E104" s="18">
        <v>0.35416666666666669</v>
      </c>
      <c r="F104" s="16" t="s">
        <v>10</v>
      </c>
      <c r="G104" s="16" t="s">
        <v>19</v>
      </c>
    </row>
    <row r="105" spans="1:7" x14ac:dyDescent="0.25">
      <c r="A105" s="16" t="s">
        <v>173</v>
      </c>
      <c r="B105" s="16" t="s">
        <v>84</v>
      </c>
      <c r="C105" s="16" t="s">
        <v>22</v>
      </c>
      <c r="D105" s="17">
        <v>45034</v>
      </c>
      <c r="E105" s="18">
        <v>0.36458333333333331</v>
      </c>
      <c r="F105" s="16" t="s">
        <v>38</v>
      </c>
      <c r="G105" s="16" t="s">
        <v>41</v>
      </c>
    </row>
    <row r="106" spans="1:7" x14ac:dyDescent="0.25">
      <c r="A106" s="16" t="s">
        <v>174</v>
      </c>
      <c r="B106" s="16" t="s">
        <v>92</v>
      </c>
      <c r="C106" s="16" t="s">
        <v>25</v>
      </c>
      <c r="D106" s="17">
        <v>45152</v>
      </c>
      <c r="E106" s="18">
        <v>0.66666666666666663</v>
      </c>
      <c r="F106" s="16" t="s">
        <v>29</v>
      </c>
      <c r="G106" s="16" t="s">
        <v>15</v>
      </c>
    </row>
    <row r="107" spans="1:7" x14ac:dyDescent="0.25">
      <c r="A107" s="16" t="s">
        <v>175</v>
      </c>
      <c r="B107" s="16" t="s">
        <v>56</v>
      </c>
      <c r="C107" s="16" t="s">
        <v>74</v>
      </c>
      <c r="D107" s="17">
        <v>45228</v>
      </c>
      <c r="E107" s="18">
        <v>0.46875</v>
      </c>
      <c r="F107" s="16" t="s">
        <v>10</v>
      </c>
      <c r="G107" s="16" t="s">
        <v>11</v>
      </c>
    </row>
    <row r="108" spans="1:7" x14ac:dyDescent="0.25">
      <c r="A108" s="16" t="s">
        <v>176</v>
      </c>
      <c r="B108" s="16" t="s">
        <v>177</v>
      </c>
      <c r="C108" s="16" t="s">
        <v>32</v>
      </c>
      <c r="D108" s="17">
        <v>45033</v>
      </c>
      <c r="E108" s="18">
        <v>0.57291666666666663</v>
      </c>
      <c r="F108" s="16" t="s">
        <v>38</v>
      </c>
      <c r="G108" s="16" t="s">
        <v>41</v>
      </c>
    </row>
    <row r="109" spans="1:7" x14ac:dyDescent="0.25">
      <c r="A109" s="16" t="s">
        <v>178</v>
      </c>
      <c r="B109" s="16" t="s">
        <v>109</v>
      </c>
      <c r="C109" s="16" t="s">
        <v>74</v>
      </c>
      <c r="D109" s="17">
        <v>45037</v>
      </c>
      <c r="E109" s="18">
        <v>0.625</v>
      </c>
      <c r="F109" s="16" t="s">
        <v>26</v>
      </c>
      <c r="G109" s="16" t="s">
        <v>19</v>
      </c>
    </row>
    <row r="110" spans="1:7" x14ac:dyDescent="0.25">
      <c r="A110" s="16" t="s">
        <v>179</v>
      </c>
      <c r="B110" s="16" t="s">
        <v>125</v>
      </c>
      <c r="C110" s="16" t="s">
        <v>74</v>
      </c>
      <c r="D110" s="17">
        <v>45136</v>
      </c>
      <c r="E110" s="18">
        <v>0.58333333333333337</v>
      </c>
      <c r="F110" s="16" t="s">
        <v>38</v>
      </c>
      <c r="G110" s="16" t="s">
        <v>11</v>
      </c>
    </row>
    <row r="111" spans="1:7" x14ac:dyDescent="0.25">
      <c r="A111" s="16" t="s">
        <v>180</v>
      </c>
      <c r="B111" s="16" t="s">
        <v>68</v>
      </c>
      <c r="C111" s="16" t="s">
        <v>74</v>
      </c>
      <c r="D111" s="17">
        <v>45126</v>
      </c>
      <c r="E111" s="18">
        <v>0.60416666666666663</v>
      </c>
      <c r="F111" s="16" t="s">
        <v>18</v>
      </c>
      <c r="G111" s="16" t="s">
        <v>11</v>
      </c>
    </row>
    <row r="112" spans="1:7" x14ac:dyDescent="0.25">
      <c r="A112" s="16" t="s">
        <v>181</v>
      </c>
      <c r="B112" s="16" t="s">
        <v>125</v>
      </c>
      <c r="C112" s="16" t="s">
        <v>35</v>
      </c>
      <c r="D112" s="17">
        <v>45068</v>
      </c>
      <c r="E112" s="18">
        <v>0.64583333333333337</v>
      </c>
      <c r="F112" s="16" t="s">
        <v>38</v>
      </c>
      <c r="G112" s="16" t="s">
        <v>11</v>
      </c>
    </row>
    <row r="113" spans="1:7" x14ac:dyDescent="0.25">
      <c r="A113" s="16" t="s">
        <v>182</v>
      </c>
      <c r="B113" s="16" t="s">
        <v>17</v>
      </c>
      <c r="C113" s="16" t="s">
        <v>35</v>
      </c>
      <c r="D113" s="17">
        <v>44937</v>
      </c>
      <c r="E113" s="18">
        <v>0.33333333333333331</v>
      </c>
      <c r="F113" s="16" t="s">
        <v>38</v>
      </c>
      <c r="G113" s="16" t="s">
        <v>15</v>
      </c>
    </row>
    <row r="114" spans="1:7" x14ac:dyDescent="0.25">
      <c r="A114" s="16" t="s">
        <v>183</v>
      </c>
      <c r="B114" s="16" t="s">
        <v>84</v>
      </c>
      <c r="C114" s="16" t="s">
        <v>25</v>
      </c>
      <c r="D114" s="17">
        <v>45254</v>
      </c>
      <c r="E114" s="18">
        <v>0.64583333333333337</v>
      </c>
      <c r="F114" s="16" t="s">
        <v>18</v>
      </c>
      <c r="G114" s="16" t="s">
        <v>19</v>
      </c>
    </row>
    <row r="115" spans="1:7" x14ac:dyDescent="0.25">
      <c r="A115" s="16" t="s">
        <v>184</v>
      </c>
      <c r="B115" s="16" t="s">
        <v>185</v>
      </c>
      <c r="C115" s="16" t="s">
        <v>59</v>
      </c>
      <c r="D115" s="17">
        <v>45146</v>
      </c>
      <c r="E115" s="18">
        <v>0.375</v>
      </c>
      <c r="F115" s="16" t="s">
        <v>10</v>
      </c>
      <c r="G115" s="16" t="s">
        <v>41</v>
      </c>
    </row>
    <row r="116" spans="1:7" x14ac:dyDescent="0.25">
      <c r="A116" s="16" t="s">
        <v>186</v>
      </c>
      <c r="B116" s="16" t="s">
        <v>68</v>
      </c>
      <c r="C116" s="16" t="s">
        <v>74</v>
      </c>
      <c r="D116" s="17">
        <v>45224</v>
      </c>
      <c r="E116" s="18">
        <v>0.4375</v>
      </c>
      <c r="F116" s="16" t="s">
        <v>10</v>
      </c>
      <c r="G116" s="16" t="s">
        <v>15</v>
      </c>
    </row>
    <row r="117" spans="1:7" x14ac:dyDescent="0.25">
      <c r="A117" s="16" t="s">
        <v>187</v>
      </c>
      <c r="B117" s="16" t="s">
        <v>37</v>
      </c>
      <c r="C117" s="16" t="s">
        <v>9</v>
      </c>
      <c r="D117" s="17">
        <v>45114</v>
      </c>
      <c r="E117" s="18">
        <v>0.38541666666666669</v>
      </c>
      <c r="F117" s="16" t="s">
        <v>38</v>
      </c>
      <c r="G117" s="16" t="s">
        <v>15</v>
      </c>
    </row>
    <row r="118" spans="1:7" x14ac:dyDescent="0.25">
      <c r="A118" s="16" t="s">
        <v>188</v>
      </c>
      <c r="B118" s="16" t="s">
        <v>13</v>
      </c>
      <c r="C118" s="16" t="s">
        <v>59</v>
      </c>
      <c r="D118" s="17">
        <v>45097</v>
      </c>
      <c r="E118" s="18">
        <v>0.57291666666666663</v>
      </c>
      <c r="F118" s="16" t="s">
        <v>18</v>
      </c>
      <c r="G118" s="16" t="s">
        <v>15</v>
      </c>
    </row>
    <row r="119" spans="1:7" x14ac:dyDescent="0.25">
      <c r="A119" s="16" t="s">
        <v>189</v>
      </c>
      <c r="B119" s="16" t="s">
        <v>109</v>
      </c>
      <c r="C119" s="16" t="s">
        <v>25</v>
      </c>
      <c r="D119" s="17">
        <v>45147</v>
      </c>
      <c r="E119" s="18">
        <v>0.34375</v>
      </c>
      <c r="F119" s="16" t="s">
        <v>18</v>
      </c>
      <c r="G119" s="16" t="s">
        <v>11</v>
      </c>
    </row>
    <row r="120" spans="1:7" x14ac:dyDescent="0.25">
      <c r="A120" s="16" t="s">
        <v>190</v>
      </c>
      <c r="B120" s="16" t="s">
        <v>90</v>
      </c>
      <c r="C120" s="16" t="s">
        <v>14</v>
      </c>
      <c r="D120" s="17">
        <v>45278</v>
      </c>
      <c r="E120" s="18">
        <v>0.5625</v>
      </c>
      <c r="F120" s="16" t="s">
        <v>26</v>
      </c>
      <c r="G120" s="16" t="s">
        <v>19</v>
      </c>
    </row>
    <row r="121" spans="1:7" x14ac:dyDescent="0.25">
      <c r="A121" s="16" t="s">
        <v>191</v>
      </c>
      <c r="B121" s="16" t="s">
        <v>13</v>
      </c>
      <c r="C121" s="16" t="s">
        <v>59</v>
      </c>
      <c r="D121" s="17">
        <v>45268</v>
      </c>
      <c r="E121" s="18">
        <v>0.45833333333333331</v>
      </c>
      <c r="F121" s="16" t="s">
        <v>10</v>
      </c>
      <c r="G121" s="16" t="s">
        <v>15</v>
      </c>
    </row>
    <row r="122" spans="1:7" x14ac:dyDescent="0.25">
      <c r="A122" s="16" t="s">
        <v>192</v>
      </c>
      <c r="B122" s="16" t="s">
        <v>56</v>
      </c>
      <c r="C122" s="16" t="s">
        <v>59</v>
      </c>
      <c r="D122" s="17">
        <v>45023</v>
      </c>
      <c r="E122" s="18">
        <v>0.625</v>
      </c>
      <c r="F122" s="16" t="s">
        <v>29</v>
      </c>
      <c r="G122" s="16" t="s">
        <v>41</v>
      </c>
    </row>
    <row r="123" spans="1:7" x14ac:dyDescent="0.25">
      <c r="A123" s="16" t="s">
        <v>193</v>
      </c>
      <c r="B123" s="16" t="s">
        <v>50</v>
      </c>
      <c r="C123" s="16" t="s">
        <v>54</v>
      </c>
      <c r="D123" s="17">
        <v>45118</v>
      </c>
      <c r="E123" s="18">
        <v>0.60416666666666663</v>
      </c>
      <c r="F123" s="16" t="s">
        <v>10</v>
      </c>
      <c r="G123" s="16" t="s">
        <v>19</v>
      </c>
    </row>
    <row r="124" spans="1:7" x14ac:dyDescent="0.25">
      <c r="A124" s="16" t="s">
        <v>194</v>
      </c>
      <c r="B124" s="16" t="s">
        <v>68</v>
      </c>
      <c r="C124" s="16" t="s">
        <v>48</v>
      </c>
      <c r="D124" s="17">
        <v>44985</v>
      </c>
      <c r="E124" s="18">
        <v>0.44791666666666669</v>
      </c>
      <c r="F124" s="16" t="s">
        <v>10</v>
      </c>
      <c r="G124" s="16" t="s">
        <v>41</v>
      </c>
    </row>
    <row r="125" spans="1:7" x14ac:dyDescent="0.25">
      <c r="A125" s="16" t="s">
        <v>195</v>
      </c>
      <c r="B125" s="16" t="s">
        <v>142</v>
      </c>
      <c r="C125" s="16" t="s">
        <v>54</v>
      </c>
      <c r="D125" s="17">
        <v>45001</v>
      </c>
      <c r="E125" s="18">
        <v>0.71875</v>
      </c>
      <c r="F125" s="16" t="s">
        <v>26</v>
      </c>
      <c r="G125" s="16" t="s">
        <v>19</v>
      </c>
    </row>
    <row r="126" spans="1:7" x14ac:dyDescent="0.25">
      <c r="A126" s="16" t="s">
        <v>196</v>
      </c>
      <c r="B126" s="16" t="s">
        <v>90</v>
      </c>
      <c r="C126" s="16" t="s">
        <v>32</v>
      </c>
      <c r="D126" s="17">
        <v>44975</v>
      </c>
      <c r="E126" s="18">
        <v>0.42708333333333331</v>
      </c>
      <c r="F126" s="16" t="s">
        <v>29</v>
      </c>
      <c r="G126" s="16" t="s">
        <v>41</v>
      </c>
    </row>
    <row r="127" spans="1:7" x14ac:dyDescent="0.25">
      <c r="A127" s="16" t="s">
        <v>197</v>
      </c>
      <c r="B127" s="16" t="s">
        <v>21</v>
      </c>
      <c r="C127" s="16" t="s">
        <v>35</v>
      </c>
      <c r="D127" s="17">
        <v>45232</v>
      </c>
      <c r="E127" s="18">
        <v>0.40625</v>
      </c>
      <c r="F127" s="16" t="s">
        <v>26</v>
      </c>
      <c r="G127" s="16" t="s">
        <v>11</v>
      </c>
    </row>
    <row r="128" spans="1:7" x14ac:dyDescent="0.25">
      <c r="A128" s="16" t="s">
        <v>198</v>
      </c>
      <c r="B128" s="16" t="s">
        <v>125</v>
      </c>
      <c r="C128" s="16" t="s">
        <v>35</v>
      </c>
      <c r="D128" s="17">
        <v>45243</v>
      </c>
      <c r="E128" s="18">
        <v>0.35416666666666669</v>
      </c>
      <c r="F128" s="16" t="s">
        <v>29</v>
      </c>
      <c r="G128" s="16" t="s">
        <v>15</v>
      </c>
    </row>
    <row r="129" spans="1:7" x14ac:dyDescent="0.25">
      <c r="A129" s="16" t="s">
        <v>199</v>
      </c>
      <c r="B129" s="16" t="s">
        <v>161</v>
      </c>
      <c r="C129" s="16" t="s">
        <v>48</v>
      </c>
      <c r="D129" s="17">
        <v>45031</v>
      </c>
      <c r="E129" s="18">
        <v>0.61458333333333337</v>
      </c>
      <c r="F129" s="16" t="s">
        <v>38</v>
      </c>
      <c r="G129" s="16" t="s">
        <v>41</v>
      </c>
    </row>
    <row r="130" spans="1:7" x14ac:dyDescent="0.25">
      <c r="A130" s="16" t="s">
        <v>200</v>
      </c>
      <c r="B130" s="16" t="s">
        <v>70</v>
      </c>
      <c r="C130" s="16" t="s">
        <v>22</v>
      </c>
      <c r="D130" s="17">
        <v>45163</v>
      </c>
      <c r="E130" s="18">
        <v>0.39583333333333331</v>
      </c>
      <c r="F130" s="16" t="s">
        <v>29</v>
      </c>
      <c r="G130" s="16" t="s">
        <v>19</v>
      </c>
    </row>
    <row r="131" spans="1:7" x14ac:dyDescent="0.25">
      <c r="A131" s="16" t="s">
        <v>201</v>
      </c>
      <c r="B131" s="16" t="s">
        <v>151</v>
      </c>
      <c r="C131" s="16" t="s">
        <v>22</v>
      </c>
      <c r="D131" s="17">
        <v>44980</v>
      </c>
      <c r="E131" s="18">
        <v>0.625</v>
      </c>
      <c r="F131" s="16" t="s">
        <v>26</v>
      </c>
      <c r="G131" s="16" t="s">
        <v>15</v>
      </c>
    </row>
    <row r="132" spans="1:7" x14ac:dyDescent="0.25">
      <c r="A132" s="16" t="s">
        <v>202</v>
      </c>
      <c r="B132" s="16" t="s">
        <v>68</v>
      </c>
      <c r="C132" s="16" t="s">
        <v>25</v>
      </c>
      <c r="D132" s="17">
        <v>45057</v>
      </c>
      <c r="E132" s="18">
        <v>0.6875</v>
      </c>
      <c r="F132" s="16" t="s">
        <v>10</v>
      </c>
      <c r="G132" s="16" t="s">
        <v>15</v>
      </c>
    </row>
    <row r="133" spans="1:7" x14ac:dyDescent="0.25">
      <c r="A133" s="16" t="s">
        <v>203</v>
      </c>
      <c r="B133" s="16" t="s">
        <v>119</v>
      </c>
      <c r="C133" s="16" t="s">
        <v>48</v>
      </c>
      <c r="D133" s="17">
        <v>45133</v>
      </c>
      <c r="E133" s="18">
        <v>0.44791666666666669</v>
      </c>
      <c r="F133" s="16" t="s">
        <v>29</v>
      </c>
      <c r="G133" s="16" t="s">
        <v>19</v>
      </c>
    </row>
    <row r="134" spans="1:7" x14ac:dyDescent="0.25">
      <c r="A134" s="16" t="s">
        <v>204</v>
      </c>
      <c r="B134" s="16" t="s">
        <v>17</v>
      </c>
      <c r="C134" s="16" t="s">
        <v>59</v>
      </c>
      <c r="D134" s="17">
        <v>45008</v>
      </c>
      <c r="E134" s="18">
        <v>0.60416666666666663</v>
      </c>
      <c r="F134" s="16" t="s">
        <v>29</v>
      </c>
      <c r="G134" s="16" t="s">
        <v>41</v>
      </c>
    </row>
    <row r="135" spans="1:7" x14ac:dyDescent="0.25">
      <c r="A135" s="16" t="s">
        <v>205</v>
      </c>
      <c r="B135" s="16" t="s">
        <v>21</v>
      </c>
      <c r="C135" s="16" t="s">
        <v>22</v>
      </c>
      <c r="D135" s="17">
        <v>45216</v>
      </c>
      <c r="E135" s="18">
        <v>0.63541666666666663</v>
      </c>
      <c r="F135" s="16" t="s">
        <v>18</v>
      </c>
      <c r="G135" s="16" t="s">
        <v>11</v>
      </c>
    </row>
    <row r="136" spans="1:7" x14ac:dyDescent="0.25">
      <c r="A136" s="16" t="s">
        <v>206</v>
      </c>
      <c r="B136" s="16" t="s">
        <v>43</v>
      </c>
      <c r="C136" s="16" t="s">
        <v>74</v>
      </c>
      <c r="D136" s="17">
        <v>45178</v>
      </c>
      <c r="E136" s="18">
        <v>0.6875</v>
      </c>
      <c r="F136" s="16" t="s">
        <v>10</v>
      </c>
      <c r="G136" s="16" t="s">
        <v>11</v>
      </c>
    </row>
    <row r="137" spans="1:7" x14ac:dyDescent="0.25">
      <c r="A137" s="16" t="s">
        <v>207</v>
      </c>
      <c r="B137" s="16" t="s">
        <v>142</v>
      </c>
      <c r="C137" s="16" t="s">
        <v>9</v>
      </c>
      <c r="D137" s="17">
        <v>45059</v>
      </c>
      <c r="E137" s="18">
        <v>0.52083333333333337</v>
      </c>
      <c r="F137" s="16" t="s">
        <v>38</v>
      </c>
      <c r="G137" s="16" t="s">
        <v>41</v>
      </c>
    </row>
    <row r="138" spans="1:7" x14ac:dyDescent="0.25">
      <c r="A138" s="16" t="s">
        <v>208</v>
      </c>
      <c r="B138" s="16" t="s">
        <v>100</v>
      </c>
      <c r="C138" s="16" t="s">
        <v>59</v>
      </c>
      <c r="D138" s="17">
        <v>45224</v>
      </c>
      <c r="E138" s="18">
        <v>0.41666666666666669</v>
      </c>
      <c r="F138" s="16" t="s">
        <v>26</v>
      </c>
      <c r="G138" s="16" t="s">
        <v>15</v>
      </c>
    </row>
    <row r="139" spans="1:7" x14ac:dyDescent="0.25">
      <c r="A139" s="16" t="s">
        <v>209</v>
      </c>
      <c r="B139" s="16" t="s">
        <v>68</v>
      </c>
      <c r="C139" s="16" t="s">
        <v>32</v>
      </c>
      <c r="D139" s="17">
        <v>45286</v>
      </c>
      <c r="E139" s="18">
        <v>0.63541666666666663</v>
      </c>
      <c r="F139" s="16" t="s">
        <v>38</v>
      </c>
      <c r="G139" s="16" t="s">
        <v>15</v>
      </c>
    </row>
    <row r="140" spans="1:7" x14ac:dyDescent="0.25">
      <c r="A140" s="16" t="s">
        <v>210</v>
      </c>
      <c r="B140" s="16" t="s">
        <v>84</v>
      </c>
      <c r="C140" s="16" t="s">
        <v>74</v>
      </c>
      <c r="D140" s="17">
        <v>45209</v>
      </c>
      <c r="E140" s="18">
        <v>0.44791666666666669</v>
      </c>
      <c r="F140" s="16" t="s">
        <v>10</v>
      </c>
      <c r="G140" s="16" t="s">
        <v>15</v>
      </c>
    </row>
    <row r="141" spans="1:7" x14ac:dyDescent="0.25">
      <c r="A141" s="16" t="s">
        <v>211</v>
      </c>
      <c r="B141" s="16" t="s">
        <v>50</v>
      </c>
      <c r="C141" s="16" t="s">
        <v>74</v>
      </c>
      <c r="D141" s="17">
        <v>44962</v>
      </c>
      <c r="E141" s="18">
        <v>0.63541666666666663</v>
      </c>
      <c r="F141" s="16" t="s">
        <v>29</v>
      </c>
      <c r="G141" s="16" t="s">
        <v>15</v>
      </c>
    </row>
    <row r="142" spans="1:7" x14ac:dyDescent="0.25">
      <c r="A142" s="16" t="s">
        <v>212</v>
      </c>
      <c r="B142" s="16" t="s">
        <v>161</v>
      </c>
      <c r="C142" s="16" t="s">
        <v>48</v>
      </c>
      <c r="D142" s="17">
        <v>45092</v>
      </c>
      <c r="E142" s="18">
        <v>0.63541666666666663</v>
      </c>
      <c r="F142" s="16" t="s">
        <v>29</v>
      </c>
      <c r="G142" s="16" t="s">
        <v>41</v>
      </c>
    </row>
    <row r="143" spans="1:7" x14ac:dyDescent="0.25">
      <c r="A143" s="16" t="s">
        <v>213</v>
      </c>
      <c r="B143" s="16" t="s">
        <v>100</v>
      </c>
      <c r="C143" s="16" t="s">
        <v>25</v>
      </c>
      <c r="D143" s="17">
        <v>45231</v>
      </c>
      <c r="E143" s="18">
        <v>0.48958333333333331</v>
      </c>
      <c r="F143" s="16" t="s">
        <v>10</v>
      </c>
      <c r="G143" s="16" t="s">
        <v>15</v>
      </c>
    </row>
    <row r="144" spans="1:7" x14ac:dyDescent="0.25">
      <c r="A144" s="16" t="s">
        <v>214</v>
      </c>
      <c r="B144" s="16" t="s">
        <v>50</v>
      </c>
      <c r="C144" s="16" t="s">
        <v>32</v>
      </c>
      <c r="D144" s="17">
        <v>45190</v>
      </c>
      <c r="E144" s="18">
        <v>0.51041666666666663</v>
      </c>
      <c r="F144" s="16" t="s">
        <v>29</v>
      </c>
      <c r="G144" s="16" t="s">
        <v>19</v>
      </c>
    </row>
    <row r="145" spans="1:7" x14ac:dyDescent="0.25">
      <c r="A145" s="16" t="s">
        <v>215</v>
      </c>
      <c r="B145" s="16" t="s">
        <v>177</v>
      </c>
      <c r="C145" s="16" t="s">
        <v>22</v>
      </c>
      <c r="D145" s="17">
        <v>45154</v>
      </c>
      <c r="E145" s="18">
        <v>0.51041666666666663</v>
      </c>
      <c r="F145" s="16" t="s">
        <v>29</v>
      </c>
      <c r="G145" s="16" t="s">
        <v>15</v>
      </c>
    </row>
    <row r="146" spans="1:7" x14ac:dyDescent="0.25">
      <c r="A146" s="16" t="s">
        <v>216</v>
      </c>
      <c r="B146" s="16" t="s">
        <v>163</v>
      </c>
      <c r="C146" s="16" t="s">
        <v>48</v>
      </c>
      <c r="D146" s="17">
        <v>45241</v>
      </c>
      <c r="E146" s="18">
        <v>0.61458333333333337</v>
      </c>
      <c r="F146" s="16" t="s">
        <v>29</v>
      </c>
      <c r="G146" s="16" t="s">
        <v>11</v>
      </c>
    </row>
    <row r="147" spans="1:7" x14ac:dyDescent="0.25">
      <c r="A147" s="16" t="s">
        <v>217</v>
      </c>
      <c r="B147" s="16" t="s">
        <v>63</v>
      </c>
      <c r="C147" s="16" t="s">
        <v>22</v>
      </c>
      <c r="D147" s="17">
        <v>44931</v>
      </c>
      <c r="E147" s="18">
        <v>0.39583333333333331</v>
      </c>
      <c r="F147" s="16" t="s">
        <v>26</v>
      </c>
      <c r="G147" s="16" t="s">
        <v>15</v>
      </c>
    </row>
    <row r="148" spans="1:7" x14ac:dyDescent="0.25">
      <c r="A148" s="16" t="s">
        <v>218</v>
      </c>
      <c r="B148" s="16" t="s">
        <v>61</v>
      </c>
      <c r="C148" s="16" t="s">
        <v>48</v>
      </c>
      <c r="D148" s="17">
        <v>45243</v>
      </c>
      <c r="E148" s="18">
        <v>0.72916666666666663</v>
      </c>
      <c r="F148" s="16" t="s">
        <v>26</v>
      </c>
      <c r="G148" s="16" t="s">
        <v>41</v>
      </c>
    </row>
    <row r="149" spans="1:7" x14ac:dyDescent="0.25">
      <c r="A149" s="16" t="s">
        <v>219</v>
      </c>
      <c r="B149" s="16" t="s">
        <v>97</v>
      </c>
      <c r="C149" s="16" t="s">
        <v>48</v>
      </c>
      <c r="D149" s="17">
        <v>45266</v>
      </c>
      <c r="E149" s="18">
        <v>0.35416666666666669</v>
      </c>
      <c r="F149" s="16" t="s">
        <v>18</v>
      </c>
      <c r="G149" s="16" t="s">
        <v>11</v>
      </c>
    </row>
    <row r="150" spans="1:7" x14ac:dyDescent="0.25">
      <c r="A150" s="16" t="s">
        <v>220</v>
      </c>
      <c r="B150" s="16" t="s">
        <v>100</v>
      </c>
      <c r="C150" s="16" t="s">
        <v>48</v>
      </c>
      <c r="D150" s="17">
        <v>45133</v>
      </c>
      <c r="E150" s="18">
        <v>0.52083333333333337</v>
      </c>
      <c r="F150" s="16" t="s">
        <v>38</v>
      </c>
      <c r="G150" s="16" t="s">
        <v>41</v>
      </c>
    </row>
    <row r="151" spans="1:7" x14ac:dyDescent="0.25">
      <c r="A151" s="16" t="s">
        <v>221</v>
      </c>
      <c r="B151" s="16" t="s">
        <v>66</v>
      </c>
      <c r="C151" s="16" t="s">
        <v>25</v>
      </c>
      <c r="D151" s="17">
        <v>45154</v>
      </c>
      <c r="E151" s="18">
        <v>0.44791666666666669</v>
      </c>
      <c r="F151" s="16" t="s">
        <v>10</v>
      </c>
      <c r="G151" s="16" t="s">
        <v>41</v>
      </c>
    </row>
    <row r="152" spans="1:7" x14ac:dyDescent="0.25">
      <c r="A152" s="16" t="s">
        <v>222</v>
      </c>
      <c r="B152" s="16" t="s">
        <v>34</v>
      </c>
      <c r="C152" s="16" t="s">
        <v>48</v>
      </c>
      <c r="D152" s="17">
        <v>44954</v>
      </c>
      <c r="E152" s="18">
        <v>0.38541666666666669</v>
      </c>
      <c r="F152" s="16" t="s">
        <v>10</v>
      </c>
      <c r="G152" s="16" t="s">
        <v>11</v>
      </c>
    </row>
    <row r="153" spans="1:7" x14ac:dyDescent="0.25">
      <c r="A153" s="16" t="s">
        <v>223</v>
      </c>
      <c r="B153" s="16" t="s">
        <v>40</v>
      </c>
      <c r="C153" s="16" t="s">
        <v>14</v>
      </c>
      <c r="D153" s="17">
        <v>45030</v>
      </c>
      <c r="E153" s="18">
        <v>0.35416666666666669</v>
      </c>
      <c r="F153" s="16" t="s">
        <v>10</v>
      </c>
      <c r="G153" s="16" t="s">
        <v>41</v>
      </c>
    </row>
    <row r="154" spans="1:7" x14ac:dyDescent="0.25">
      <c r="A154" s="16" t="s">
        <v>224</v>
      </c>
      <c r="B154" s="16" t="s">
        <v>125</v>
      </c>
      <c r="C154" s="16" t="s">
        <v>9</v>
      </c>
      <c r="D154" s="17">
        <v>45115</v>
      </c>
      <c r="E154" s="18">
        <v>0.53125</v>
      </c>
      <c r="F154" s="16" t="s">
        <v>18</v>
      </c>
      <c r="G154" s="16" t="s">
        <v>41</v>
      </c>
    </row>
    <row r="155" spans="1:7" x14ac:dyDescent="0.25">
      <c r="A155" s="16" t="s">
        <v>225</v>
      </c>
      <c r="B155" s="16" t="s">
        <v>50</v>
      </c>
      <c r="C155" s="16" t="s">
        <v>22</v>
      </c>
      <c r="D155" s="17">
        <v>44991</v>
      </c>
      <c r="E155" s="18">
        <v>0.72916666666666663</v>
      </c>
      <c r="F155" s="16" t="s">
        <v>26</v>
      </c>
      <c r="G155" s="16" t="s">
        <v>15</v>
      </c>
    </row>
    <row r="156" spans="1:7" x14ac:dyDescent="0.25">
      <c r="A156" s="16" t="s">
        <v>226</v>
      </c>
      <c r="B156" s="16" t="s">
        <v>21</v>
      </c>
      <c r="C156" s="16" t="s">
        <v>59</v>
      </c>
      <c r="D156" s="17">
        <v>44929</v>
      </c>
      <c r="E156" s="18">
        <v>0.39583333333333331</v>
      </c>
      <c r="F156" s="16" t="s">
        <v>18</v>
      </c>
      <c r="G156" s="16" t="s">
        <v>19</v>
      </c>
    </row>
    <row r="157" spans="1:7" x14ac:dyDescent="0.25">
      <c r="A157" s="16" t="s">
        <v>227</v>
      </c>
      <c r="B157" s="16" t="s">
        <v>81</v>
      </c>
      <c r="C157" s="16" t="s">
        <v>54</v>
      </c>
      <c r="D157" s="17">
        <v>45252</v>
      </c>
      <c r="E157" s="18">
        <v>0.60416666666666663</v>
      </c>
      <c r="F157" s="16" t="s">
        <v>10</v>
      </c>
      <c r="G157" s="16" t="s">
        <v>41</v>
      </c>
    </row>
    <row r="158" spans="1:7" x14ac:dyDescent="0.25">
      <c r="A158" s="16" t="s">
        <v>228</v>
      </c>
      <c r="B158" s="16" t="s">
        <v>84</v>
      </c>
      <c r="C158" s="16" t="s">
        <v>32</v>
      </c>
      <c r="D158" s="17">
        <v>45058</v>
      </c>
      <c r="E158" s="18">
        <v>0.45833333333333331</v>
      </c>
      <c r="F158" s="16" t="s">
        <v>38</v>
      </c>
      <c r="G158" s="16" t="s">
        <v>41</v>
      </c>
    </row>
    <row r="159" spans="1:7" x14ac:dyDescent="0.25">
      <c r="A159" s="16" t="s">
        <v>229</v>
      </c>
      <c r="B159" s="16" t="s">
        <v>90</v>
      </c>
      <c r="C159" s="16" t="s">
        <v>35</v>
      </c>
      <c r="D159" s="17">
        <v>45119</v>
      </c>
      <c r="E159" s="18">
        <v>0.51041666666666663</v>
      </c>
      <c r="F159" s="16" t="s">
        <v>29</v>
      </c>
      <c r="G159" s="16" t="s">
        <v>41</v>
      </c>
    </row>
    <row r="160" spans="1:7" x14ac:dyDescent="0.25">
      <c r="A160" s="16" t="s">
        <v>230</v>
      </c>
      <c r="B160" s="16" t="s">
        <v>34</v>
      </c>
      <c r="C160" s="16" t="s">
        <v>25</v>
      </c>
      <c r="D160" s="17">
        <v>45024</v>
      </c>
      <c r="E160" s="18">
        <v>0.67708333333333337</v>
      </c>
      <c r="F160" s="16" t="s">
        <v>26</v>
      </c>
      <c r="G160" s="16" t="s">
        <v>15</v>
      </c>
    </row>
    <row r="161" spans="1:7" x14ac:dyDescent="0.25">
      <c r="A161" s="16" t="s">
        <v>231</v>
      </c>
      <c r="B161" s="16" t="s">
        <v>37</v>
      </c>
      <c r="C161" s="16" t="s">
        <v>59</v>
      </c>
      <c r="D161" s="17">
        <v>45277</v>
      </c>
      <c r="E161" s="18">
        <v>0.53125</v>
      </c>
      <c r="F161" s="16" t="s">
        <v>26</v>
      </c>
      <c r="G161" s="16" t="s">
        <v>19</v>
      </c>
    </row>
    <row r="162" spans="1:7" x14ac:dyDescent="0.25">
      <c r="A162" s="16" t="s">
        <v>232</v>
      </c>
      <c r="B162" s="16" t="s">
        <v>28</v>
      </c>
      <c r="C162" s="16" t="s">
        <v>74</v>
      </c>
      <c r="D162" s="17">
        <v>45094</v>
      </c>
      <c r="E162" s="18">
        <v>0.44791666666666669</v>
      </c>
      <c r="F162" s="16" t="s">
        <v>18</v>
      </c>
      <c r="G162" s="16" t="s">
        <v>11</v>
      </c>
    </row>
    <row r="163" spans="1:7" x14ac:dyDescent="0.25">
      <c r="A163" s="16" t="s">
        <v>233</v>
      </c>
      <c r="B163" s="16" t="s">
        <v>234</v>
      </c>
      <c r="C163" s="16" t="s">
        <v>14</v>
      </c>
      <c r="D163" s="17">
        <v>44927</v>
      </c>
      <c r="E163" s="18">
        <v>0.71875</v>
      </c>
      <c r="F163" s="16" t="s">
        <v>26</v>
      </c>
      <c r="G163" s="16" t="s">
        <v>15</v>
      </c>
    </row>
    <row r="164" spans="1:7" x14ac:dyDescent="0.25">
      <c r="A164" s="16" t="s">
        <v>235</v>
      </c>
      <c r="B164" s="16" t="s">
        <v>37</v>
      </c>
      <c r="C164" s="16" t="s">
        <v>35</v>
      </c>
      <c r="D164" s="17">
        <v>45104</v>
      </c>
      <c r="E164" s="18">
        <v>0.625</v>
      </c>
      <c r="F164" s="16" t="s">
        <v>10</v>
      </c>
      <c r="G164" s="16" t="s">
        <v>15</v>
      </c>
    </row>
    <row r="165" spans="1:7" x14ac:dyDescent="0.25">
      <c r="A165" s="16" t="s">
        <v>236</v>
      </c>
      <c r="B165" s="16" t="s">
        <v>61</v>
      </c>
      <c r="C165" s="16" t="s">
        <v>54</v>
      </c>
      <c r="D165" s="17">
        <v>45135</v>
      </c>
      <c r="E165" s="18">
        <v>0.71875</v>
      </c>
      <c r="F165" s="16" t="s">
        <v>10</v>
      </c>
      <c r="G165" s="16" t="s">
        <v>19</v>
      </c>
    </row>
    <row r="166" spans="1:7" x14ac:dyDescent="0.25">
      <c r="A166" s="16" t="s">
        <v>237</v>
      </c>
      <c r="B166" s="16" t="s">
        <v>97</v>
      </c>
      <c r="C166" s="16" t="s">
        <v>59</v>
      </c>
      <c r="D166" s="17">
        <v>45020</v>
      </c>
      <c r="E166" s="18">
        <v>0.64583333333333337</v>
      </c>
      <c r="F166" s="16" t="s">
        <v>18</v>
      </c>
      <c r="G166" s="16" t="s">
        <v>19</v>
      </c>
    </row>
    <row r="167" spans="1:7" x14ac:dyDescent="0.25">
      <c r="A167" s="16" t="s">
        <v>238</v>
      </c>
      <c r="B167" s="16" t="s">
        <v>40</v>
      </c>
      <c r="C167" s="16" t="s">
        <v>35</v>
      </c>
      <c r="D167" s="17">
        <v>44938</v>
      </c>
      <c r="E167" s="18">
        <v>0.61458333333333337</v>
      </c>
      <c r="F167" s="16" t="s">
        <v>10</v>
      </c>
      <c r="G167" s="16" t="s">
        <v>15</v>
      </c>
    </row>
    <row r="168" spans="1:7" x14ac:dyDescent="0.25">
      <c r="A168" s="16" t="s">
        <v>239</v>
      </c>
      <c r="B168" s="16" t="s">
        <v>125</v>
      </c>
      <c r="C168" s="16" t="s">
        <v>59</v>
      </c>
      <c r="D168" s="17">
        <v>45245</v>
      </c>
      <c r="E168" s="18">
        <v>0.34375</v>
      </c>
      <c r="F168" s="16" t="s">
        <v>38</v>
      </c>
      <c r="G168" s="16" t="s">
        <v>11</v>
      </c>
    </row>
    <row r="169" spans="1:7" x14ac:dyDescent="0.25">
      <c r="A169" s="16" t="s">
        <v>240</v>
      </c>
      <c r="B169" s="16" t="s">
        <v>90</v>
      </c>
      <c r="C169" s="16" t="s">
        <v>14</v>
      </c>
      <c r="D169" s="17">
        <v>45198</v>
      </c>
      <c r="E169" s="18">
        <v>0.41666666666666669</v>
      </c>
      <c r="F169" s="16" t="s">
        <v>18</v>
      </c>
      <c r="G169" s="16" t="s">
        <v>15</v>
      </c>
    </row>
    <row r="170" spans="1:7" x14ac:dyDescent="0.25">
      <c r="A170" s="16" t="s">
        <v>241</v>
      </c>
      <c r="B170" s="16" t="s">
        <v>45</v>
      </c>
      <c r="C170" s="16" t="s">
        <v>54</v>
      </c>
      <c r="D170" s="17">
        <v>45131</v>
      </c>
      <c r="E170" s="18">
        <v>0.69791666666666663</v>
      </c>
      <c r="F170" s="16" t="s">
        <v>38</v>
      </c>
      <c r="G170" s="16" t="s">
        <v>19</v>
      </c>
    </row>
    <row r="171" spans="1:7" x14ac:dyDescent="0.25">
      <c r="A171" s="16" t="s">
        <v>242</v>
      </c>
      <c r="B171" s="16" t="s">
        <v>129</v>
      </c>
      <c r="C171" s="16" t="s">
        <v>74</v>
      </c>
      <c r="D171" s="17">
        <v>44988</v>
      </c>
      <c r="E171" s="18">
        <v>0.375</v>
      </c>
      <c r="F171" s="16" t="s">
        <v>29</v>
      </c>
      <c r="G171" s="16" t="s">
        <v>11</v>
      </c>
    </row>
    <row r="172" spans="1:7" x14ac:dyDescent="0.25">
      <c r="A172" s="16" t="s">
        <v>243</v>
      </c>
      <c r="B172" s="16" t="s">
        <v>168</v>
      </c>
      <c r="C172" s="16" t="s">
        <v>48</v>
      </c>
      <c r="D172" s="17">
        <v>45034</v>
      </c>
      <c r="E172" s="18">
        <v>0.6875</v>
      </c>
      <c r="F172" s="16" t="s">
        <v>38</v>
      </c>
      <c r="G172" s="16" t="s">
        <v>19</v>
      </c>
    </row>
    <row r="173" spans="1:7" x14ac:dyDescent="0.25">
      <c r="A173" s="16" t="s">
        <v>244</v>
      </c>
      <c r="B173" s="16" t="s">
        <v>185</v>
      </c>
      <c r="C173" s="16" t="s">
        <v>22</v>
      </c>
      <c r="D173" s="17">
        <v>44994</v>
      </c>
      <c r="E173" s="18">
        <v>0.67708333333333337</v>
      </c>
      <c r="F173" s="16" t="s">
        <v>29</v>
      </c>
      <c r="G173" s="16" t="s">
        <v>11</v>
      </c>
    </row>
    <row r="174" spans="1:7" x14ac:dyDescent="0.25">
      <c r="A174" s="16" t="s">
        <v>245</v>
      </c>
      <c r="B174" s="16" t="s">
        <v>66</v>
      </c>
      <c r="C174" s="16" t="s">
        <v>74</v>
      </c>
      <c r="D174" s="17">
        <v>45081</v>
      </c>
      <c r="E174" s="18">
        <v>0.5625</v>
      </c>
      <c r="F174" s="16" t="s">
        <v>29</v>
      </c>
      <c r="G174" s="16" t="s">
        <v>41</v>
      </c>
    </row>
    <row r="175" spans="1:7" x14ac:dyDescent="0.25">
      <c r="A175" s="16" t="s">
        <v>246</v>
      </c>
      <c r="B175" s="16" t="s">
        <v>50</v>
      </c>
      <c r="C175" s="16" t="s">
        <v>48</v>
      </c>
      <c r="D175" s="17">
        <v>45230</v>
      </c>
      <c r="E175" s="18">
        <v>0.46875</v>
      </c>
      <c r="F175" s="16" t="s">
        <v>38</v>
      </c>
      <c r="G175" s="16" t="s">
        <v>19</v>
      </c>
    </row>
    <row r="176" spans="1:7" x14ac:dyDescent="0.25">
      <c r="A176" s="16" t="s">
        <v>247</v>
      </c>
      <c r="B176" s="16" t="s">
        <v>177</v>
      </c>
      <c r="C176" s="16" t="s">
        <v>25</v>
      </c>
      <c r="D176" s="17">
        <v>45221</v>
      </c>
      <c r="E176" s="18">
        <v>0.70833333333333337</v>
      </c>
      <c r="F176" s="16" t="s">
        <v>18</v>
      </c>
      <c r="G176" s="16" t="s">
        <v>19</v>
      </c>
    </row>
    <row r="177" spans="1:7" x14ac:dyDescent="0.25">
      <c r="A177" s="16" t="s">
        <v>248</v>
      </c>
      <c r="B177" s="16" t="s">
        <v>92</v>
      </c>
      <c r="C177" s="16" t="s">
        <v>9</v>
      </c>
      <c r="D177" s="17">
        <v>45042</v>
      </c>
      <c r="E177" s="18">
        <v>0.39583333333333331</v>
      </c>
      <c r="F177" s="16" t="s">
        <v>10</v>
      </c>
      <c r="G177" s="16" t="s">
        <v>15</v>
      </c>
    </row>
    <row r="178" spans="1:7" x14ac:dyDescent="0.25">
      <c r="A178" s="16" t="s">
        <v>249</v>
      </c>
      <c r="B178" s="16" t="s">
        <v>139</v>
      </c>
      <c r="C178" s="16" t="s">
        <v>32</v>
      </c>
      <c r="D178" s="17">
        <v>45154</v>
      </c>
      <c r="E178" s="18">
        <v>0.52083333333333337</v>
      </c>
      <c r="F178" s="16" t="s">
        <v>10</v>
      </c>
      <c r="G178" s="16" t="s">
        <v>19</v>
      </c>
    </row>
    <row r="179" spans="1:7" x14ac:dyDescent="0.25">
      <c r="A179" s="16" t="s">
        <v>250</v>
      </c>
      <c r="B179" s="16" t="s">
        <v>151</v>
      </c>
      <c r="C179" s="16" t="s">
        <v>32</v>
      </c>
      <c r="D179" s="17">
        <v>44943</v>
      </c>
      <c r="E179" s="18">
        <v>0.55208333333333337</v>
      </c>
      <c r="F179" s="16" t="s">
        <v>29</v>
      </c>
      <c r="G179" s="16" t="s">
        <v>19</v>
      </c>
    </row>
    <row r="180" spans="1:7" x14ac:dyDescent="0.25">
      <c r="A180" s="16" t="s">
        <v>251</v>
      </c>
      <c r="B180" s="16" t="s">
        <v>252</v>
      </c>
      <c r="C180" s="16" t="s">
        <v>22</v>
      </c>
      <c r="D180" s="17">
        <v>44993</v>
      </c>
      <c r="E180" s="18">
        <v>0.51041666666666663</v>
      </c>
      <c r="F180" s="16" t="s">
        <v>29</v>
      </c>
      <c r="G180" s="16" t="s">
        <v>41</v>
      </c>
    </row>
    <row r="181" spans="1:7" x14ac:dyDescent="0.25">
      <c r="A181" s="16" t="s">
        <v>253</v>
      </c>
      <c r="B181" s="16" t="s">
        <v>163</v>
      </c>
      <c r="C181" s="16" t="s">
        <v>54</v>
      </c>
      <c r="D181" s="17">
        <v>44933</v>
      </c>
      <c r="E181" s="18">
        <v>0.45833333333333331</v>
      </c>
      <c r="F181" s="16" t="s">
        <v>18</v>
      </c>
      <c r="G181" s="16" t="s">
        <v>19</v>
      </c>
    </row>
    <row r="182" spans="1:7" x14ac:dyDescent="0.25">
      <c r="A182" s="16" t="s">
        <v>254</v>
      </c>
      <c r="B182" s="16" t="s">
        <v>72</v>
      </c>
      <c r="C182" s="16" t="s">
        <v>14</v>
      </c>
      <c r="D182" s="17">
        <v>45172</v>
      </c>
      <c r="E182" s="18">
        <v>0.55208333333333337</v>
      </c>
      <c r="F182" s="16" t="s">
        <v>26</v>
      </c>
      <c r="G182" s="16" t="s">
        <v>41</v>
      </c>
    </row>
    <row r="183" spans="1:7" x14ac:dyDescent="0.25">
      <c r="A183" s="16" t="s">
        <v>255</v>
      </c>
      <c r="B183" s="16" t="s">
        <v>142</v>
      </c>
      <c r="C183" s="16" t="s">
        <v>54</v>
      </c>
      <c r="D183" s="17">
        <v>45028</v>
      </c>
      <c r="E183" s="18">
        <v>0.33333333333333331</v>
      </c>
      <c r="F183" s="16" t="s">
        <v>38</v>
      </c>
      <c r="G183" s="16" t="s">
        <v>41</v>
      </c>
    </row>
    <row r="184" spans="1:7" x14ac:dyDescent="0.25">
      <c r="A184" s="16" t="s">
        <v>256</v>
      </c>
      <c r="B184" s="16" t="s">
        <v>24</v>
      </c>
      <c r="C184" s="16" t="s">
        <v>14</v>
      </c>
      <c r="D184" s="17">
        <v>44960</v>
      </c>
      <c r="E184" s="18">
        <v>0.67708333333333337</v>
      </c>
      <c r="F184" s="16" t="s">
        <v>29</v>
      </c>
      <c r="G184" s="16" t="s">
        <v>41</v>
      </c>
    </row>
    <row r="185" spans="1:7" x14ac:dyDescent="0.25">
      <c r="A185" s="16" t="s">
        <v>257</v>
      </c>
      <c r="B185" s="16" t="s">
        <v>234</v>
      </c>
      <c r="C185" s="16" t="s">
        <v>54</v>
      </c>
      <c r="D185" s="17">
        <v>44983</v>
      </c>
      <c r="E185" s="18">
        <v>0.73958333333333337</v>
      </c>
      <c r="F185" s="16" t="s">
        <v>10</v>
      </c>
      <c r="G185" s="16" t="s">
        <v>41</v>
      </c>
    </row>
    <row r="186" spans="1:7" x14ac:dyDescent="0.25">
      <c r="A186" s="16" t="s">
        <v>258</v>
      </c>
      <c r="B186" s="16" t="s">
        <v>177</v>
      </c>
      <c r="C186" s="16" t="s">
        <v>9</v>
      </c>
      <c r="D186" s="17">
        <v>45006</v>
      </c>
      <c r="E186" s="18">
        <v>0.58333333333333337</v>
      </c>
      <c r="F186" s="16" t="s">
        <v>18</v>
      </c>
      <c r="G186" s="16" t="s">
        <v>11</v>
      </c>
    </row>
    <row r="187" spans="1:7" x14ac:dyDescent="0.25">
      <c r="A187" s="16" t="s">
        <v>259</v>
      </c>
      <c r="B187" s="16" t="s">
        <v>123</v>
      </c>
      <c r="C187" s="16" t="s">
        <v>25</v>
      </c>
      <c r="D187" s="17">
        <v>45012</v>
      </c>
      <c r="E187" s="18">
        <v>0.71875</v>
      </c>
      <c r="F187" s="16" t="s">
        <v>38</v>
      </c>
      <c r="G187" s="16" t="s">
        <v>15</v>
      </c>
    </row>
    <row r="188" spans="1:7" x14ac:dyDescent="0.25">
      <c r="A188" s="16" t="s">
        <v>260</v>
      </c>
      <c r="B188" s="16" t="s">
        <v>117</v>
      </c>
      <c r="C188" s="16" t="s">
        <v>25</v>
      </c>
      <c r="D188" s="17">
        <v>44970</v>
      </c>
      <c r="E188" s="18">
        <v>0.52083333333333337</v>
      </c>
      <c r="F188" s="16" t="s">
        <v>18</v>
      </c>
      <c r="G188" s="16" t="s">
        <v>11</v>
      </c>
    </row>
    <row r="189" spans="1:7" x14ac:dyDescent="0.25">
      <c r="A189" s="16" t="s">
        <v>261</v>
      </c>
      <c r="B189" s="16" t="s">
        <v>112</v>
      </c>
      <c r="C189" s="16" t="s">
        <v>48</v>
      </c>
      <c r="D189" s="17">
        <v>45028</v>
      </c>
      <c r="E189" s="18">
        <v>0.6875</v>
      </c>
      <c r="F189" s="16" t="s">
        <v>38</v>
      </c>
      <c r="G189" s="16" t="s">
        <v>19</v>
      </c>
    </row>
    <row r="190" spans="1:7" x14ac:dyDescent="0.25">
      <c r="A190" s="16" t="s">
        <v>262</v>
      </c>
      <c r="B190" s="16" t="s">
        <v>40</v>
      </c>
      <c r="C190" s="16" t="s">
        <v>35</v>
      </c>
      <c r="D190" s="17">
        <v>45204</v>
      </c>
      <c r="E190" s="18">
        <v>0.5625</v>
      </c>
      <c r="F190" s="16" t="s">
        <v>38</v>
      </c>
      <c r="G190" s="16" t="s">
        <v>11</v>
      </c>
    </row>
    <row r="191" spans="1:7" x14ac:dyDescent="0.25">
      <c r="A191" s="16" t="s">
        <v>263</v>
      </c>
      <c r="B191" s="16" t="s">
        <v>45</v>
      </c>
      <c r="C191" s="16" t="s">
        <v>25</v>
      </c>
      <c r="D191" s="17">
        <v>45246</v>
      </c>
      <c r="E191" s="18">
        <v>0.63541666666666663</v>
      </c>
      <c r="F191" s="16" t="s">
        <v>29</v>
      </c>
      <c r="G191" s="16" t="s">
        <v>11</v>
      </c>
    </row>
    <row r="192" spans="1:7" x14ac:dyDescent="0.25">
      <c r="A192" s="16" t="s">
        <v>264</v>
      </c>
      <c r="B192" s="16" t="s">
        <v>56</v>
      </c>
      <c r="C192" s="16" t="s">
        <v>25</v>
      </c>
      <c r="D192" s="17">
        <v>45028</v>
      </c>
      <c r="E192" s="18">
        <v>0.66666666666666663</v>
      </c>
      <c r="F192" s="16" t="s">
        <v>18</v>
      </c>
      <c r="G192" s="16" t="s">
        <v>19</v>
      </c>
    </row>
    <row r="193" spans="1:7" x14ac:dyDescent="0.25">
      <c r="A193" s="16" t="s">
        <v>265</v>
      </c>
      <c r="B193" s="16" t="s">
        <v>252</v>
      </c>
      <c r="C193" s="16" t="s">
        <v>74</v>
      </c>
      <c r="D193" s="17">
        <v>45169</v>
      </c>
      <c r="E193" s="18">
        <v>0.59375</v>
      </c>
      <c r="F193" s="16" t="s">
        <v>18</v>
      </c>
      <c r="G193" s="16" t="s">
        <v>19</v>
      </c>
    </row>
    <row r="194" spans="1:7" x14ac:dyDescent="0.25">
      <c r="A194" s="16" t="s">
        <v>266</v>
      </c>
      <c r="B194" s="16" t="s">
        <v>100</v>
      </c>
      <c r="C194" s="16" t="s">
        <v>74</v>
      </c>
      <c r="D194" s="17">
        <v>45184</v>
      </c>
      <c r="E194" s="18">
        <v>0.34375</v>
      </c>
      <c r="F194" s="16" t="s">
        <v>10</v>
      </c>
      <c r="G194" s="16" t="s">
        <v>19</v>
      </c>
    </row>
    <row r="195" spans="1:7" x14ac:dyDescent="0.25">
      <c r="A195" s="16" t="s">
        <v>267</v>
      </c>
      <c r="B195" s="16" t="s">
        <v>154</v>
      </c>
      <c r="C195" s="16" t="s">
        <v>48</v>
      </c>
      <c r="D195" s="17">
        <v>45022</v>
      </c>
      <c r="E195" s="18">
        <v>0.53125</v>
      </c>
      <c r="F195" s="16" t="s">
        <v>10</v>
      </c>
      <c r="G195" s="16" t="s">
        <v>11</v>
      </c>
    </row>
    <row r="196" spans="1:7" x14ac:dyDescent="0.25">
      <c r="A196" s="16" t="s">
        <v>268</v>
      </c>
      <c r="B196" s="16" t="s">
        <v>17</v>
      </c>
      <c r="C196" s="16" t="s">
        <v>35</v>
      </c>
      <c r="D196" s="17">
        <v>45157</v>
      </c>
      <c r="E196" s="18">
        <v>0.71875</v>
      </c>
      <c r="F196" s="16" t="s">
        <v>29</v>
      </c>
      <c r="G196" s="16" t="s">
        <v>11</v>
      </c>
    </row>
    <row r="197" spans="1:7" x14ac:dyDescent="0.25">
      <c r="A197" s="16" t="s">
        <v>269</v>
      </c>
      <c r="B197" s="16" t="s">
        <v>28</v>
      </c>
      <c r="C197" s="16" t="s">
        <v>22</v>
      </c>
      <c r="D197" s="17">
        <v>45225</v>
      </c>
      <c r="E197" s="18">
        <v>0.40625</v>
      </c>
      <c r="F197" s="16" t="s">
        <v>29</v>
      </c>
      <c r="G197" s="16" t="s">
        <v>19</v>
      </c>
    </row>
    <row r="198" spans="1:7" x14ac:dyDescent="0.25">
      <c r="A198" s="16" t="s">
        <v>270</v>
      </c>
      <c r="B198" s="16" t="s">
        <v>31</v>
      </c>
      <c r="C198" s="16" t="s">
        <v>74</v>
      </c>
      <c r="D198" s="17">
        <v>45017</v>
      </c>
      <c r="E198" s="18">
        <v>0.5625</v>
      </c>
      <c r="F198" s="16" t="s">
        <v>26</v>
      </c>
      <c r="G198" s="16" t="s">
        <v>15</v>
      </c>
    </row>
    <row r="199" spans="1:7" x14ac:dyDescent="0.25">
      <c r="A199" s="16" t="s">
        <v>271</v>
      </c>
      <c r="B199" s="16" t="s">
        <v>43</v>
      </c>
      <c r="C199" s="16" t="s">
        <v>22</v>
      </c>
      <c r="D199" s="17">
        <v>45061</v>
      </c>
      <c r="E199" s="18">
        <v>0.35416666666666669</v>
      </c>
      <c r="F199" s="16" t="s">
        <v>10</v>
      </c>
      <c r="G199" s="16" t="s">
        <v>15</v>
      </c>
    </row>
    <row r="200" spans="1:7" x14ac:dyDescent="0.25">
      <c r="A200" s="16" t="s">
        <v>272</v>
      </c>
      <c r="B200" s="16" t="s">
        <v>151</v>
      </c>
      <c r="C200" s="16" t="s">
        <v>59</v>
      </c>
      <c r="D200" s="17">
        <v>45047</v>
      </c>
      <c r="E200" s="18">
        <v>0.53125</v>
      </c>
      <c r="F200" s="16" t="s">
        <v>38</v>
      </c>
      <c r="G200" s="16" t="s">
        <v>41</v>
      </c>
    </row>
    <row r="201" spans="1:7" x14ac:dyDescent="0.25">
      <c r="A201" s="16" t="s">
        <v>273</v>
      </c>
      <c r="B201" s="16" t="s">
        <v>163</v>
      </c>
      <c r="C201" s="16" t="s">
        <v>74</v>
      </c>
      <c r="D201" s="17">
        <v>45290</v>
      </c>
      <c r="E201" s="18">
        <v>0.42708333333333331</v>
      </c>
      <c r="F201" s="16" t="s">
        <v>18</v>
      </c>
      <c r="G201" s="16"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3980C-94FC-42E9-8AE3-4D89930771A1}">
  <dimension ref="A1:DI201"/>
  <sheetViews>
    <sheetView workbookViewId="0">
      <selection activeCell="C8" sqref="C8"/>
    </sheetView>
  </sheetViews>
  <sheetFormatPr defaultRowHeight="15" x14ac:dyDescent="0.25"/>
  <cols>
    <col min="1" max="1" width="15.42578125" bestFit="1" customWidth="1"/>
    <col min="2" max="2" width="17.85546875" style="3" bestFit="1" customWidth="1"/>
    <col min="3" max="3" width="18" style="5" bestFit="1" customWidth="1"/>
    <col min="4" max="4" width="15.42578125" bestFit="1" customWidth="1"/>
    <col min="5" max="5" width="10.85546875" bestFit="1" customWidth="1"/>
    <col min="6" max="6" width="10.85546875" customWidth="1"/>
    <col min="7" max="7" width="15.85546875" bestFit="1" customWidth="1"/>
    <col min="9" max="9" width="12" style="3" bestFit="1" customWidth="1"/>
    <col min="10" max="11" width="12" style="3" customWidth="1"/>
    <col min="13" max="13" width="13.28515625" bestFit="1" customWidth="1"/>
    <col min="14" max="14" width="15.5703125" bestFit="1" customWidth="1"/>
    <col min="15" max="15" width="18.7109375" style="3" bestFit="1" customWidth="1"/>
    <col min="16" max="16" width="15.5703125" style="15" bestFit="1" customWidth="1"/>
    <col min="17" max="17" width="12.42578125" bestFit="1" customWidth="1"/>
    <col min="18" max="18" width="16.42578125" style="3" customWidth="1"/>
    <col min="19" max="19" width="48.5703125" bestFit="1" customWidth="1"/>
    <col min="20" max="20" width="19" bestFit="1" customWidth="1"/>
    <col min="21" max="21" width="26.28515625" bestFit="1" customWidth="1"/>
    <col min="22" max="22" width="26.7109375" bestFit="1" customWidth="1"/>
    <col min="24" max="24" width="14.85546875" bestFit="1" customWidth="1"/>
    <col min="25" max="25" width="15.5703125" bestFit="1" customWidth="1"/>
    <col min="26" max="26" width="12.42578125" bestFit="1" customWidth="1"/>
    <col min="27" max="27" width="16.42578125" bestFit="1" customWidth="1"/>
    <col min="28" max="28" width="18.42578125" style="12" bestFit="1" customWidth="1"/>
    <col min="29" max="29" width="16.85546875" style="15" bestFit="1" customWidth="1"/>
    <col min="30" max="30" width="26.28515625" bestFit="1" customWidth="1"/>
    <col min="31" max="31" width="15.28515625" customWidth="1"/>
    <col min="32" max="32" width="28.140625" bestFit="1" customWidth="1"/>
    <col min="33" max="33" width="12.28515625" bestFit="1" customWidth="1"/>
    <col min="36" max="36" width="13.28515625" bestFit="1" customWidth="1"/>
    <col min="37" max="37" width="14.85546875" bestFit="1" customWidth="1"/>
    <col min="38" max="38" width="16.85546875" bestFit="1" customWidth="1"/>
    <col min="41" max="41" width="28.140625" bestFit="1" customWidth="1"/>
    <col min="94" max="94" width="14.85546875" bestFit="1" customWidth="1"/>
    <col min="106" max="106" width="13.28515625" bestFit="1" customWidth="1"/>
    <col min="107" max="107" width="15.5703125" bestFit="1" customWidth="1"/>
    <col min="109" max="109" width="16.42578125" bestFit="1" customWidth="1"/>
  </cols>
  <sheetData>
    <row r="1" spans="1:113" x14ac:dyDescent="0.25">
      <c r="A1" s="6" t="s">
        <v>0</v>
      </c>
      <c r="B1" s="7" t="s">
        <v>3</v>
      </c>
      <c r="C1" s="8" t="s">
        <v>4</v>
      </c>
      <c r="D1" s="6" t="s">
        <v>5</v>
      </c>
      <c r="E1" s="6" t="s">
        <v>6</v>
      </c>
      <c r="F1" s="6" t="s">
        <v>1</v>
      </c>
      <c r="G1" s="6" t="s">
        <v>454</v>
      </c>
      <c r="H1" s="6" t="s">
        <v>455</v>
      </c>
      <c r="I1" s="7" t="s">
        <v>456</v>
      </c>
      <c r="J1" s="7" t="s">
        <v>495</v>
      </c>
      <c r="K1" s="7" t="s">
        <v>460</v>
      </c>
      <c r="L1" s="6" t="s">
        <v>2</v>
      </c>
      <c r="M1" s="6" t="s">
        <v>469</v>
      </c>
      <c r="N1" s="6" t="s">
        <v>457</v>
      </c>
      <c r="O1" s="7" t="s">
        <v>458</v>
      </c>
      <c r="P1" s="13" t="s">
        <v>431</v>
      </c>
      <c r="Q1" s="6" t="s">
        <v>459</v>
      </c>
      <c r="R1" s="28"/>
      <c r="CL1" s="6" t="s">
        <v>2</v>
      </c>
      <c r="CM1" s="6" t="s">
        <v>274</v>
      </c>
      <c r="CN1" s="6" t="s">
        <v>275</v>
      </c>
      <c r="CO1" s="6" t="s">
        <v>405</v>
      </c>
      <c r="CP1" s="10" t="s">
        <v>406</v>
      </c>
      <c r="CQ1" s="13" t="s">
        <v>407</v>
      </c>
      <c r="CR1" s="6" t="s">
        <v>431</v>
      </c>
      <c r="CS1" s="6" t="s">
        <v>432</v>
      </c>
      <c r="CT1" s="6" t="s">
        <v>283</v>
      </c>
      <c r="CU1" s="6" t="s">
        <v>425</v>
      </c>
      <c r="CX1" s="6" t="s">
        <v>1</v>
      </c>
      <c r="CY1" s="6" t="s">
        <v>274</v>
      </c>
      <c r="CZ1" s="6" t="s">
        <v>275</v>
      </c>
      <c r="DA1" s="6" t="s">
        <v>276</v>
      </c>
      <c r="DB1" s="7" t="s">
        <v>277</v>
      </c>
      <c r="DC1" s="13" t="s">
        <v>278</v>
      </c>
      <c r="DD1" s="6" t="s">
        <v>279</v>
      </c>
      <c r="DE1" s="7" t="s">
        <v>280</v>
      </c>
      <c r="DF1" s="6" t="s">
        <v>281</v>
      </c>
      <c r="DG1" s="6" t="s">
        <v>282</v>
      </c>
      <c r="DH1" s="6" t="s">
        <v>283</v>
      </c>
      <c r="DI1" s="23" t="s">
        <v>453</v>
      </c>
    </row>
    <row r="2" spans="1:113" x14ac:dyDescent="0.25">
      <c r="A2" s="1" t="s">
        <v>53</v>
      </c>
      <c r="B2" s="2">
        <v>45107</v>
      </c>
      <c r="C2" s="4">
        <v>0.45833333333333331</v>
      </c>
      <c r="D2" s="1" t="s">
        <v>18</v>
      </c>
      <c r="E2" s="1" t="s">
        <v>11</v>
      </c>
      <c r="F2" s="1" t="s">
        <v>34</v>
      </c>
      <c r="G2" s="1" t="str">
        <f t="shared" ref="G2:G33" si="0">VLOOKUP(F2,$CX$1:$DI$51,12,FALSE)</f>
        <v>Michael Taylor</v>
      </c>
      <c r="H2" s="1" t="str">
        <f t="shared" ref="H2:H33" si="1">VLOOKUP(F2,$CX$1:$DI$51,4,FALSE)</f>
        <v>M</v>
      </c>
      <c r="I2" s="2">
        <f t="shared" ref="I2:I33" si="2">VLOOKUP(F2,$CX$1:$DI$51,5,FALSE)</f>
        <v>36729</v>
      </c>
      <c r="J2" s="24">
        <f t="shared" ref="J2:J33" ca="1" si="3">DATEDIF(I2,TODAY(),"Y")</f>
        <v>26</v>
      </c>
      <c r="K2" s="24" t="str">
        <f t="shared" ref="K2:K33" ca="1" si="4">_xlfn.IFS(J2&lt;=18,"0-18 Group",J2&lt;=30,"19-30 Group",J2&lt;=45,"31-45 Group",J2&lt;=60,"46-60 Group",J2&gt;60,"60+ ")</f>
        <v>19-30 Group</v>
      </c>
      <c r="L2" s="1" t="s">
        <v>54</v>
      </c>
      <c r="M2" s="1" t="str">
        <f t="shared" ref="M2:M33" si="5">VLOOKUP(L2,$CL$1:$CU$11,10,FALSE)</f>
        <v>Linda Brown</v>
      </c>
      <c r="N2" s="1" t="str">
        <f t="shared" ref="N2:N33" si="6">VLOOKUP(L2,$CL$1:$CU$11,4,FALSE)</f>
        <v>Dermatology</v>
      </c>
      <c r="O2" s="27">
        <f t="shared" ref="O2:O33" si="7">VLOOKUP(L2,$CL$1:$CU$11,6,FALSE)</f>
        <v>5</v>
      </c>
      <c r="P2" s="14" t="str">
        <f t="shared" ref="P2:P33" si="8">VLOOKUP(L2,$CL$1:$CU$11,7,FALSE)</f>
        <v>Westside</v>
      </c>
      <c r="Q2" s="1" t="str">
        <f t="shared" ref="Q2:Q33" si="9">VLOOKUP(L2,$CL$1:$CU$11,8,FALSE)</f>
        <v>Clinic</v>
      </c>
      <c r="R2" s="17"/>
      <c r="CL2" s="1" t="s">
        <v>59</v>
      </c>
      <c r="CM2" s="1" t="s">
        <v>284</v>
      </c>
      <c r="CN2" s="1" t="s">
        <v>325</v>
      </c>
      <c r="CO2" s="1" t="s">
        <v>409</v>
      </c>
      <c r="CP2" s="11">
        <v>8322010158</v>
      </c>
      <c r="CQ2" s="14">
        <v>17</v>
      </c>
      <c r="CR2" s="1" t="s">
        <v>426</v>
      </c>
      <c r="CS2" s="1" t="s">
        <v>427</v>
      </c>
      <c r="CT2" s="1" t="s">
        <v>411</v>
      </c>
      <c r="CU2" s="1" t="str">
        <f t="shared" ref="CU2:CU11" si="10">CM2&amp;" "&amp;CN2</f>
        <v>David Taylor</v>
      </c>
      <c r="CX2" s="1" t="s">
        <v>31</v>
      </c>
      <c r="CY2" s="1" t="s">
        <v>284</v>
      </c>
      <c r="CZ2" s="1" t="s">
        <v>285</v>
      </c>
      <c r="DA2" s="1" t="s">
        <v>286</v>
      </c>
      <c r="DB2" s="2">
        <v>20244</v>
      </c>
      <c r="DC2" s="14">
        <v>6939585183</v>
      </c>
      <c r="DD2" s="1" t="s">
        <v>287</v>
      </c>
      <c r="DE2" s="2">
        <v>44735</v>
      </c>
      <c r="DF2" s="1" t="s">
        <v>288</v>
      </c>
      <c r="DG2" s="1" t="s">
        <v>289</v>
      </c>
      <c r="DH2" s="1" t="s">
        <v>290</v>
      </c>
      <c r="DI2" t="str">
        <f>CY2&amp;" "&amp;CZ2</f>
        <v>David Williams</v>
      </c>
    </row>
    <row r="3" spans="1:113" x14ac:dyDescent="0.25">
      <c r="A3" s="1" t="s">
        <v>67</v>
      </c>
      <c r="B3" s="2">
        <v>45098</v>
      </c>
      <c r="C3" s="4">
        <v>0.33333333333333331</v>
      </c>
      <c r="D3" s="1" t="s">
        <v>29</v>
      </c>
      <c r="E3" s="1" t="s">
        <v>41</v>
      </c>
      <c r="F3" s="1" t="s">
        <v>68</v>
      </c>
      <c r="G3" s="1" t="str">
        <f t="shared" si="0"/>
        <v>David Moore</v>
      </c>
      <c r="H3" s="1" t="str">
        <f t="shared" si="1"/>
        <v>M</v>
      </c>
      <c r="I3" s="2">
        <f t="shared" si="2"/>
        <v>26629</v>
      </c>
      <c r="J3" s="24">
        <f t="shared" ca="1" si="3"/>
        <v>53</v>
      </c>
      <c r="K3" s="24" t="str">
        <f t="shared" ca="1" si="4"/>
        <v>46-60 Group</v>
      </c>
      <c r="L3" s="1" t="s">
        <v>54</v>
      </c>
      <c r="M3" s="1" t="str">
        <f t="shared" si="5"/>
        <v>Linda Brown</v>
      </c>
      <c r="N3" s="1" t="str">
        <f t="shared" si="6"/>
        <v>Dermatology</v>
      </c>
      <c r="O3" s="27">
        <f t="shared" si="7"/>
        <v>5</v>
      </c>
      <c r="P3" s="14" t="str">
        <f t="shared" si="8"/>
        <v>Westside</v>
      </c>
      <c r="Q3" s="1" t="str">
        <f t="shared" si="9"/>
        <v>Clinic</v>
      </c>
      <c r="R3" s="17"/>
      <c r="CL3" s="1" t="s">
        <v>48</v>
      </c>
      <c r="CM3" s="1" t="s">
        <v>340</v>
      </c>
      <c r="CN3" s="1" t="s">
        <v>319</v>
      </c>
      <c r="CO3" s="1" t="s">
        <v>412</v>
      </c>
      <c r="CP3" s="11">
        <v>9004382050</v>
      </c>
      <c r="CQ3" s="14">
        <v>24</v>
      </c>
      <c r="CR3" s="1" t="s">
        <v>428</v>
      </c>
      <c r="CS3" s="1" t="s">
        <v>427</v>
      </c>
      <c r="CT3" s="1" t="s">
        <v>414</v>
      </c>
      <c r="CU3" s="1" t="str">
        <f t="shared" si="10"/>
        <v>Jane Davis</v>
      </c>
      <c r="CX3" s="1" t="s">
        <v>112</v>
      </c>
      <c r="CY3" s="1" t="s">
        <v>291</v>
      </c>
      <c r="CZ3" s="1" t="s">
        <v>292</v>
      </c>
      <c r="DA3" s="1" t="s">
        <v>286</v>
      </c>
      <c r="DB3" s="2">
        <v>30967</v>
      </c>
      <c r="DC3" s="14">
        <v>8228188767</v>
      </c>
      <c r="DD3" s="1" t="s">
        <v>293</v>
      </c>
      <c r="DE3" s="2">
        <v>44576</v>
      </c>
      <c r="DF3" s="1" t="s">
        <v>294</v>
      </c>
      <c r="DG3" s="1" t="s">
        <v>295</v>
      </c>
      <c r="DH3" s="1" t="s">
        <v>296</v>
      </c>
      <c r="DI3" t="str">
        <f t="shared" ref="DI3:DI51" si="11">CY3&amp;" "&amp;CZ3</f>
        <v>Emily Smith</v>
      </c>
    </row>
    <row r="4" spans="1:113" x14ac:dyDescent="0.25">
      <c r="A4" s="1" t="s">
        <v>104</v>
      </c>
      <c r="B4" s="2">
        <v>45154</v>
      </c>
      <c r="C4" s="4">
        <v>0.625</v>
      </c>
      <c r="D4" s="1" t="s">
        <v>18</v>
      </c>
      <c r="E4" s="1" t="s">
        <v>15</v>
      </c>
      <c r="F4" s="1" t="s">
        <v>28</v>
      </c>
      <c r="G4" s="1" t="str">
        <f t="shared" si="0"/>
        <v>Linda Miller</v>
      </c>
      <c r="H4" s="1" t="str">
        <f t="shared" si="1"/>
        <v>F</v>
      </c>
      <c r="I4" s="2">
        <f t="shared" si="2"/>
        <v>24222</v>
      </c>
      <c r="J4" s="24">
        <f t="shared" ca="1" si="3"/>
        <v>60</v>
      </c>
      <c r="K4" s="24" t="str">
        <f t="shared" ca="1" si="4"/>
        <v>46-60 Group</v>
      </c>
      <c r="L4" s="1" t="s">
        <v>54</v>
      </c>
      <c r="M4" s="1" t="str">
        <f t="shared" si="5"/>
        <v>Linda Brown</v>
      </c>
      <c r="N4" s="1" t="str">
        <f t="shared" si="6"/>
        <v>Dermatology</v>
      </c>
      <c r="O4" s="27">
        <f t="shared" si="7"/>
        <v>5</v>
      </c>
      <c r="P4" s="14" t="str">
        <f t="shared" si="8"/>
        <v>Westside</v>
      </c>
      <c r="Q4" s="1" t="str">
        <f t="shared" si="9"/>
        <v>Clinic</v>
      </c>
      <c r="R4" s="17"/>
      <c r="S4" s="16"/>
      <c r="T4" s="16"/>
      <c r="U4" s="16"/>
      <c r="V4" s="16"/>
      <c r="CL4" s="1" t="s">
        <v>25</v>
      </c>
      <c r="CM4" s="1" t="s">
        <v>340</v>
      </c>
      <c r="CN4" s="1" t="s">
        <v>292</v>
      </c>
      <c r="CO4" s="1" t="s">
        <v>412</v>
      </c>
      <c r="CP4" s="11">
        <v>8737740598</v>
      </c>
      <c r="CQ4" s="14">
        <v>19</v>
      </c>
      <c r="CR4" s="1" t="s">
        <v>428</v>
      </c>
      <c r="CS4" s="1" t="s">
        <v>427</v>
      </c>
      <c r="CT4" s="1" t="s">
        <v>415</v>
      </c>
      <c r="CU4" s="1" t="str">
        <f t="shared" si="10"/>
        <v>Jane Smith</v>
      </c>
      <c r="CX4" s="1" t="s">
        <v>47</v>
      </c>
      <c r="CY4" s="1" t="s">
        <v>297</v>
      </c>
      <c r="CZ4" s="1" t="s">
        <v>298</v>
      </c>
      <c r="DA4" s="1" t="s">
        <v>299</v>
      </c>
      <c r="DB4" s="2">
        <v>28358</v>
      </c>
      <c r="DC4" s="14">
        <v>8397029847</v>
      </c>
      <c r="DD4" s="1" t="s">
        <v>293</v>
      </c>
      <c r="DE4" s="2">
        <v>44599</v>
      </c>
      <c r="DF4" s="1" t="s">
        <v>294</v>
      </c>
      <c r="DG4" s="1" t="s">
        <v>300</v>
      </c>
      <c r="DH4" s="1" t="s">
        <v>301</v>
      </c>
      <c r="DI4" t="str">
        <f t="shared" si="11"/>
        <v>Laura Jones</v>
      </c>
    </row>
    <row r="5" spans="1:113" x14ac:dyDescent="0.25">
      <c r="A5" s="1" t="s">
        <v>107</v>
      </c>
      <c r="B5" s="2">
        <v>45119</v>
      </c>
      <c r="C5" s="4">
        <v>0.39583333333333331</v>
      </c>
      <c r="D5" s="1" t="s">
        <v>10</v>
      </c>
      <c r="E5" s="1" t="s">
        <v>15</v>
      </c>
      <c r="F5" s="1" t="s">
        <v>34</v>
      </c>
      <c r="G5" s="1" t="str">
        <f t="shared" si="0"/>
        <v>Michael Taylor</v>
      </c>
      <c r="H5" s="1" t="str">
        <f t="shared" si="1"/>
        <v>M</v>
      </c>
      <c r="I5" s="2">
        <f t="shared" si="2"/>
        <v>36729</v>
      </c>
      <c r="J5" s="24">
        <f t="shared" ca="1" si="3"/>
        <v>26</v>
      </c>
      <c r="K5" s="24" t="str">
        <f t="shared" ca="1" si="4"/>
        <v>19-30 Group</v>
      </c>
      <c r="L5" s="1" t="s">
        <v>54</v>
      </c>
      <c r="M5" s="1" t="str">
        <f t="shared" si="5"/>
        <v>Linda Brown</v>
      </c>
      <c r="N5" s="1" t="str">
        <f t="shared" si="6"/>
        <v>Dermatology</v>
      </c>
      <c r="O5" s="27">
        <f t="shared" si="7"/>
        <v>5</v>
      </c>
      <c r="P5" s="14" t="str">
        <f t="shared" si="8"/>
        <v>Westside</v>
      </c>
      <c r="Q5" s="1" t="str">
        <f t="shared" si="9"/>
        <v>Clinic</v>
      </c>
      <c r="R5" s="17"/>
      <c r="S5" s="16"/>
      <c r="T5" s="16"/>
      <c r="U5" s="16"/>
      <c r="V5" s="16"/>
      <c r="CL5" s="1" t="s">
        <v>14</v>
      </c>
      <c r="CM5" s="1" t="s">
        <v>284</v>
      </c>
      <c r="CN5" s="1" t="s">
        <v>298</v>
      </c>
      <c r="CO5" s="1" t="s">
        <v>412</v>
      </c>
      <c r="CP5" s="11">
        <v>6594221991</v>
      </c>
      <c r="CQ5" s="14">
        <v>28</v>
      </c>
      <c r="CR5" s="1" t="s">
        <v>429</v>
      </c>
      <c r="CS5" s="1" t="s">
        <v>430</v>
      </c>
      <c r="CT5" s="1" t="s">
        <v>417</v>
      </c>
      <c r="CU5" s="1" t="str">
        <f t="shared" si="10"/>
        <v>David Jones</v>
      </c>
      <c r="CX5" s="1" t="s">
        <v>106</v>
      </c>
      <c r="CY5" s="1" t="s">
        <v>302</v>
      </c>
      <c r="CZ5" s="1" t="s">
        <v>303</v>
      </c>
      <c r="DA5" s="1" t="s">
        <v>286</v>
      </c>
      <c r="DB5" s="2">
        <v>29637</v>
      </c>
      <c r="DC5" s="14">
        <v>9019443432</v>
      </c>
      <c r="DD5" s="1" t="s">
        <v>304</v>
      </c>
      <c r="DE5" s="2">
        <v>44257</v>
      </c>
      <c r="DF5" s="1" t="s">
        <v>305</v>
      </c>
      <c r="DG5" s="1" t="s">
        <v>306</v>
      </c>
      <c r="DH5" s="1" t="s">
        <v>307</v>
      </c>
      <c r="DI5" t="str">
        <f t="shared" si="11"/>
        <v>Michael Johnson</v>
      </c>
    </row>
    <row r="6" spans="1:113" x14ac:dyDescent="0.25">
      <c r="A6" s="1" t="s">
        <v>110</v>
      </c>
      <c r="B6" s="2">
        <v>45276</v>
      </c>
      <c r="C6" s="4">
        <v>0.48958333333333331</v>
      </c>
      <c r="D6" s="1" t="s">
        <v>38</v>
      </c>
      <c r="E6" s="1" t="s">
        <v>11</v>
      </c>
      <c r="F6" s="1" t="s">
        <v>34</v>
      </c>
      <c r="G6" s="1" t="str">
        <f t="shared" si="0"/>
        <v>Michael Taylor</v>
      </c>
      <c r="H6" s="1" t="str">
        <f t="shared" si="1"/>
        <v>M</v>
      </c>
      <c r="I6" s="2">
        <f t="shared" si="2"/>
        <v>36729</v>
      </c>
      <c r="J6" s="24">
        <f t="shared" ca="1" si="3"/>
        <v>26</v>
      </c>
      <c r="K6" s="24" t="str">
        <f t="shared" ca="1" si="4"/>
        <v>19-30 Group</v>
      </c>
      <c r="L6" s="1" t="s">
        <v>54</v>
      </c>
      <c r="M6" s="1" t="str">
        <f t="shared" si="5"/>
        <v>Linda Brown</v>
      </c>
      <c r="N6" s="1" t="str">
        <f t="shared" si="6"/>
        <v>Dermatology</v>
      </c>
      <c r="O6" s="27">
        <f t="shared" si="7"/>
        <v>5</v>
      </c>
      <c r="P6" s="14" t="str">
        <f t="shared" si="8"/>
        <v>Westside</v>
      </c>
      <c r="Q6" s="1" t="str">
        <f t="shared" si="9"/>
        <v>Clinic</v>
      </c>
      <c r="R6" s="17"/>
      <c r="S6" s="16"/>
      <c r="T6" s="32"/>
      <c r="U6" s="32"/>
      <c r="V6" s="32"/>
      <c r="CL6" s="1" t="s">
        <v>74</v>
      </c>
      <c r="CM6" s="1" t="s">
        <v>336</v>
      </c>
      <c r="CN6" s="1" t="s">
        <v>325</v>
      </c>
      <c r="CO6" s="1" t="s">
        <v>409</v>
      </c>
      <c r="CP6" s="11">
        <v>9118538547</v>
      </c>
      <c r="CQ6" s="14">
        <v>26</v>
      </c>
      <c r="CR6" s="1" t="s">
        <v>429</v>
      </c>
      <c r="CS6" s="1" t="s">
        <v>430</v>
      </c>
      <c r="CT6" s="1" t="s">
        <v>418</v>
      </c>
      <c r="CU6" s="1" t="str">
        <f t="shared" si="10"/>
        <v>Sarah Taylor</v>
      </c>
      <c r="CX6" s="1" t="s">
        <v>40</v>
      </c>
      <c r="CY6" s="1" t="s">
        <v>284</v>
      </c>
      <c r="CZ6" s="1" t="s">
        <v>308</v>
      </c>
      <c r="DA6" s="1" t="s">
        <v>299</v>
      </c>
      <c r="DB6" s="2">
        <v>22090</v>
      </c>
      <c r="DC6" s="14">
        <v>7734463155</v>
      </c>
      <c r="DD6" s="1" t="s">
        <v>304</v>
      </c>
      <c r="DE6" s="2">
        <v>44468</v>
      </c>
      <c r="DF6" s="1" t="s">
        <v>309</v>
      </c>
      <c r="DG6" s="1" t="s">
        <v>310</v>
      </c>
      <c r="DH6" s="1" t="s">
        <v>311</v>
      </c>
      <c r="DI6" t="str">
        <f t="shared" si="11"/>
        <v>David Wilson</v>
      </c>
    </row>
    <row r="7" spans="1:113" x14ac:dyDescent="0.25">
      <c r="A7" s="1" t="s">
        <v>115</v>
      </c>
      <c r="B7" s="2">
        <v>45055</v>
      </c>
      <c r="C7" s="4">
        <v>0.55208333333333337</v>
      </c>
      <c r="D7" s="1" t="s">
        <v>18</v>
      </c>
      <c r="E7" s="1" t="s">
        <v>15</v>
      </c>
      <c r="F7" s="1" t="s">
        <v>13</v>
      </c>
      <c r="G7" s="1" t="str">
        <f t="shared" si="0"/>
        <v>Alex Moore</v>
      </c>
      <c r="H7" s="1" t="str">
        <f t="shared" si="1"/>
        <v>M</v>
      </c>
      <c r="I7" s="2">
        <f t="shared" si="2"/>
        <v>29594</v>
      </c>
      <c r="J7" s="24">
        <f t="shared" ca="1" si="3"/>
        <v>45</v>
      </c>
      <c r="K7" s="24" t="str">
        <f t="shared" ca="1" si="4"/>
        <v>31-45 Group</v>
      </c>
      <c r="L7" s="1" t="s">
        <v>54</v>
      </c>
      <c r="M7" s="1" t="str">
        <f t="shared" si="5"/>
        <v>Linda Brown</v>
      </c>
      <c r="N7" s="1" t="str">
        <f t="shared" si="6"/>
        <v>Dermatology</v>
      </c>
      <c r="O7" s="27">
        <f t="shared" si="7"/>
        <v>5</v>
      </c>
      <c r="P7" s="14" t="str">
        <f t="shared" si="8"/>
        <v>Westside</v>
      </c>
      <c r="Q7" s="1" t="str">
        <f t="shared" si="9"/>
        <v>Clinic</v>
      </c>
      <c r="R7" s="17"/>
      <c r="S7" s="16"/>
      <c r="T7" s="32"/>
      <c r="U7" s="32"/>
      <c r="V7" s="32"/>
      <c r="CL7" s="1" t="s">
        <v>22</v>
      </c>
      <c r="CM7" s="1" t="s">
        <v>316</v>
      </c>
      <c r="CN7" s="1" t="s">
        <v>319</v>
      </c>
      <c r="CO7" s="1" t="s">
        <v>412</v>
      </c>
      <c r="CP7" s="11">
        <v>6570137231</v>
      </c>
      <c r="CQ7" s="14">
        <v>23</v>
      </c>
      <c r="CR7" s="1" t="s">
        <v>429</v>
      </c>
      <c r="CS7" s="1" t="s">
        <v>430</v>
      </c>
      <c r="CT7" s="1" t="s">
        <v>419</v>
      </c>
      <c r="CU7" s="1" t="str">
        <f t="shared" si="10"/>
        <v>Alex Davis</v>
      </c>
      <c r="CX7" s="1" t="s">
        <v>312</v>
      </c>
      <c r="CY7" s="1" t="s">
        <v>313</v>
      </c>
      <c r="CZ7" s="1" t="s">
        <v>298</v>
      </c>
      <c r="DA7" s="1" t="s">
        <v>299</v>
      </c>
      <c r="DB7" s="2">
        <v>23178</v>
      </c>
      <c r="DC7" s="14">
        <v>7561777264</v>
      </c>
      <c r="DD7" s="1" t="s">
        <v>293</v>
      </c>
      <c r="DE7" s="2">
        <v>44836</v>
      </c>
      <c r="DF7" s="1" t="s">
        <v>305</v>
      </c>
      <c r="DG7" s="1" t="s">
        <v>314</v>
      </c>
      <c r="DH7" s="1" t="s">
        <v>315</v>
      </c>
      <c r="DI7" t="str">
        <f t="shared" si="11"/>
        <v>Linda Jones</v>
      </c>
    </row>
    <row r="8" spans="1:113" x14ac:dyDescent="0.25">
      <c r="A8" s="1" t="s">
        <v>141</v>
      </c>
      <c r="B8" s="2">
        <v>45186</v>
      </c>
      <c r="C8" s="4">
        <v>0.46875</v>
      </c>
      <c r="D8" s="1" t="s">
        <v>18</v>
      </c>
      <c r="E8" s="1" t="s">
        <v>15</v>
      </c>
      <c r="F8" s="1" t="s">
        <v>142</v>
      </c>
      <c r="G8" s="1" t="str">
        <f t="shared" si="0"/>
        <v>Laura Johnson</v>
      </c>
      <c r="H8" s="1" t="str">
        <f t="shared" si="1"/>
        <v>F</v>
      </c>
      <c r="I8" s="2">
        <f t="shared" si="2"/>
        <v>32960</v>
      </c>
      <c r="J8" s="24">
        <f t="shared" ca="1" si="3"/>
        <v>36</v>
      </c>
      <c r="K8" s="24" t="str">
        <f t="shared" ca="1" si="4"/>
        <v>31-45 Group</v>
      </c>
      <c r="L8" s="1" t="s">
        <v>54</v>
      </c>
      <c r="M8" s="1" t="str">
        <f t="shared" si="5"/>
        <v>Linda Brown</v>
      </c>
      <c r="N8" s="1" t="str">
        <f t="shared" si="6"/>
        <v>Dermatology</v>
      </c>
      <c r="O8" s="27">
        <f t="shared" si="7"/>
        <v>5</v>
      </c>
      <c r="P8" s="14" t="str">
        <f t="shared" si="8"/>
        <v>Westside</v>
      </c>
      <c r="Q8" s="1" t="str">
        <f t="shared" si="9"/>
        <v>Clinic</v>
      </c>
      <c r="R8" s="17"/>
      <c r="S8" s="16"/>
      <c r="T8" s="32"/>
      <c r="U8" s="32"/>
      <c r="V8" s="32"/>
      <c r="CL8" s="1" t="s">
        <v>32</v>
      </c>
      <c r="CM8" s="1" t="s">
        <v>361</v>
      </c>
      <c r="CN8" s="1" t="s">
        <v>319</v>
      </c>
      <c r="CO8" s="1" t="s">
        <v>420</v>
      </c>
      <c r="CP8" s="11">
        <v>8217493115</v>
      </c>
      <c r="CQ8" s="14">
        <v>26</v>
      </c>
      <c r="CR8" s="1" t="s">
        <v>426</v>
      </c>
      <c r="CS8" s="1" t="s">
        <v>427</v>
      </c>
      <c r="CT8" s="1" t="s">
        <v>421</v>
      </c>
      <c r="CU8" s="1" t="str">
        <f t="shared" si="10"/>
        <v>Robert Davis</v>
      </c>
      <c r="CX8" s="1" t="s">
        <v>163</v>
      </c>
      <c r="CY8" s="1" t="s">
        <v>316</v>
      </c>
      <c r="CZ8" s="1" t="s">
        <v>303</v>
      </c>
      <c r="DA8" s="1" t="s">
        <v>286</v>
      </c>
      <c r="DB8" s="2">
        <v>32667</v>
      </c>
      <c r="DC8" s="14">
        <v>6278710077</v>
      </c>
      <c r="DD8" s="1" t="s">
        <v>287</v>
      </c>
      <c r="DE8" s="2">
        <v>44555</v>
      </c>
      <c r="DF8" s="1" t="s">
        <v>309</v>
      </c>
      <c r="DG8" s="1" t="s">
        <v>317</v>
      </c>
      <c r="DH8" s="1" t="s">
        <v>318</v>
      </c>
      <c r="DI8" t="str">
        <f t="shared" si="11"/>
        <v>Alex Johnson</v>
      </c>
    </row>
    <row r="9" spans="1:113" x14ac:dyDescent="0.25">
      <c r="A9" s="1" t="s">
        <v>146</v>
      </c>
      <c r="B9" s="2">
        <v>44946</v>
      </c>
      <c r="C9" s="4">
        <v>0.44791666666666669</v>
      </c>
      <c r="D9" s="1" t="s">
        <v>38</v>
      </c>
      <c r="E9" s="1" t="s">
        <v>11</v>
      </c>
      <c r="F9" s="1" t="s">
        <v>112</v>
      </c>
      <c r="G9" s="1" t="str">
        <f t="shared" si="0"/>
        <v>Emily Smith</v>
      </c>
      <c r="H9" s="1" t="str">
        <f t="shared" si="1"/>
        <v>F</v>
      </c>
      <c r="I9" s="2">
        <f t="shared" si="2"/>
        <v>30967</v>
      </c>
      <c r="J9" s="24">
        <f t="shared" ca="1" si="3"/>
        <v>41</v>
      </c>
      <c r="K9" s="24" t="str">
        <f t="shared" ca="1" si="4"/>
        <v>31-45 Group</v>
      </c>
      <c r="L9" s="1" t="s">
        <v>54</v>
      </c>
      <c r="M9" s="1" t="str">
        <f t="shared" si="5"/>
        <v>Linda Brown</v>
      </c>
      <c r="N9" s="1" t="str">
        <f t="shared" si="6"/>
        <v>Dermatology</v>
      </c>
      <c r="O9" s="27">
        <f t="shared" si="7"/>
        <v>5</v>
      </c>
      <c r="P9" s="14" t="str">
        <f t="shared" si="8"/>
        <v>Westside</v>
      </c>
      <c r="Q9" s="1" t="str">
        <f t="shared" si="9"/>
        <v>Clinic</v>
      </c>
      <c r="R9" s="17"/>
      <c r="S9" s="16"/>
      <c r="T9" s="32"/>
      <c r="U9" s="32"/>
      <c r="V9" s="32"/>
      <c r="CL9" s="1" t="s">
        <v>54</v>
      </c>
      <c r="CM9" s="1" t="s">
        <v>313</v>
      </c>
      <c r="CN9" s="1" t="s">
        <v>354</v>
      </c>
      <c r="CO9" s="1" t="s">
        <v>409</v>
      </c>
      <c r="CP9" s="11">
        <v>9069162601</v>
      </c>
      <c r="CQ9" s="14">
        <v>5</v>
      </c>
      <c r="CR9" s="1" t="s">
        <v>426</v>
      </c>
      <c r="CS9" s="1" t="s">
        <v>427</v>
      </c>
      <c r="CT9" s="1" t="s">
        <v>422</v>
      </c>
      <c r="CU9" s="1" t="str">
        <f t="shared" si="10"/>
        <v>Linda Brown</v>
      </c>
      <c r="CX9" s="1" t="s">
        <v>154</v>
      </c>
      <c r="CY9" s="1" t="s">
        <v>284</v>
      </c>
      <c r="CZ9" s="1" t="s">
        <v>319</v>
      </c>
      <c r="DA9" s="1" t="s">
        <v>286</v>
      </c>
      <c r="DB9" s="2">
        <v>27946</v>
      </c>
      <c r="DC9" s="14">
        <v>7090558393</v>
      </c>
      <c r="DD9" s="1" t="s">
        <v>320</v>
      </c>
      <c r="DE9" s="2">
        <v>44341</v>
      </c>
      <c r="DF9" s="1" t="s">
        <v>288</v>
      </c>
      <c r="DG9" s="1" t="s">
        <v>321</v>
      </c>
      <c r="DH9" s="1" t="s">
        <v>322</v>
      </c>
      <c r="DI9" t="str">
        <f t="shared" si="11"/>
        <v>David Davis</v>
      </c>
    </row>
    <row r="10" spans="1:113" x14ac:dyDescent="0.25">
      <c r="A10" s="1" t="s">
        <v>193</v>
      </c>
      <c r="B10" s="2">
        <v>45118</v>
      </c>
      <c r="C10" s="4">
        <v>0.60416666666666663</v>
      </c>
      <c r="D10" s="1" t="s">
        <v>10</v>
      </c>
      <c r="E10" s="1" t="s">
        <v>19</v>
      </c>
      <c r="F10" s="1" t="s">
        <v>50</v>
      </c>
      <c r="G10" s="1" t="str">
        <f t="shared" si="0"/>
        <v>Laura Davis</v>
      </c>
      <c r="H10" s="1" t="str">
        <f t="shared" si="1"/>
        <v>F</v>
      </c>
      <c r="I10" s="2">
        <f t="shared" si="2"/>
        <v>33580</v>
      </c>
      <c r="J10" s="24">
        <f t="shared" ca="1" si="3"/>
        <v>34</v>
      </c>
      <c r="K10" s="24" t="str">
        <f t="shared" ca="1" si="4"/>
        <v>31-45 Group</v>
      </c>
      <c r="L10" s="1" t="s">
        <v>54</v>
      </c>
      <c r="M10" s="1" t="str">
        <f t="shared" si="5"/>
        <v>Linda Brown</v>
      </c>
      <c r="N10" s="1" t="str">
        <f t="shared" si="6"/>
        <v>Dermatology</v>
      </c>
      <c r="O10" s="27">
        <f t="shared" si="7"/>
        <v>5</v>
      </c>
      <c r="P10" s="14" t="str">
        <f t="shared" si="8"/>
        <v>Westside</v>
      </c>
      <c r="Q10" s="1" t="str">
        <f t="shared" si="9"/>
        <v>Clinic</v>
      </c>
      <c r="R10" s="17"/>
      <c r="S10" s="16"/>
      <c r="T10" s="32"/>
      <c r="U10" s="32"/>
      <c r="V10" s="32"/>
      <c r="CL10" s="1" t="s">
        <v>9</v>
      </c>
      <c r="CM10" s="1" t="s">
        <v>336</v>
      </c>
      <c r="CN10" s="1" t="s">
        <v>292</v>
      </c>
      <c r="CO10" s="1" t="s">
        <v>412</v>
      </c>
      <c r="CP10" s="11">
        <v>7387087517</v>
      </c>
      <c r="CQ10" s="14">
        <v>26</v>
      </c>
      <c r="CR10" s="1" t="s">
        <v>429</v>
      </c>
      <c r="CS10" s="1" t="s">
        <v>430</v>
      </c>
      <c r="CT10" s="1" t="s">
        <v>423</v>
      </c>
      <c r="CU10" s="1" t="str">
        <f t="shared" si="10"/>
        <v>Sarah Smith</v>
      </c>
      <c r="CX10" s="1" t="s">
        <v>177</v>
      </c>
      <c r="CY10" s="1" t="s">
        <v>297</v>
      </c>
      <c r="CZ10" s="1" t="s">
        <v>319</v>
      </c>
      <c r="DA10" s="1" t="s">
        <v>299</v>
      </c>
      <c r="DB10" s="2">
        <v>26278</v>
      </c>
      <c r="DC10" s="14">
        <v>7060324619</v>
      </c>
      <c r="DD10" s="1" t="s">
        <v>293</v>
      </c>
      <c r="DE10" s="2">
        <v>44822</v>
      </c>
      <c r="DF10" s="1" t="s">
        <v>294</v>
      </c>
      <c r="DG10" s="1" t="s">
        <v>323</v>
      </c>
      <c r="DH10" s="1" t="s">
        <v>324</v>
      </c>
      <c r="DI10" t="str">
        <f t="shared" si="11"/>
        <v>Laura Davis</v>
      </c>
    </row>
    <row r="11" spans="1:113" x14ac:dyDescent="0.25">
      <c r="A11" s="1" t="s">
        <v>195</v>
      </c>
      <c r="B11" s="2">
        <v>45001</v>
      </c>
      <c r="C11" s="4">
        <v>0.71875</v>
      </c>
      <c r="D11" s="1" t="s">
        <v>26</v>
      </c>
      <c r="E11" s="1" t="s">
        <v>19</v>
      </c>
      <c r="F11" s="1" t="s">
        <v>142</v>
      </c>
      <c r="G11" s="1" t="str">
        <f t="shared" si="0"/>
        <v>Laura Johnson</v>
      </c>
      <c r="H11" s="1" t="str">
        <f t="shared" si="1"/>
        <v>F</v>
      </c>
      <c r="I11" s="2">
        <f t="shared" si="2"/>
        <v>32960</v>
      </c>
      <c r="J11" s="24">
        <f t="shared" ca="1" si="3"/>
        <v>36</v>
      </c>
      <c r="K11" s="24" t="str">
        <f t="shared" ca="1" si="4"/>
        <v>31-45 Group</v>
      </c>
      <c r="L11" s="1" t="s">
        <v>54</v>
      </c>
      <c r="M11" s="1" t="str">
        <f t="shared" si="5"/>
        <v>Linda Brown</v>
      </c>
      <c r="N11" s="1" t="str">
        <f t="shared" si="6"/>
        <v>Dermatology</v>
      </c>
      <c r="O11" s="27">
        <f t="shared" si="7"/>
        <v>5</v>
      </c>
      <c r="P11" s="14" t="str">
        <f t="shared" si="8"/>
        <v>Westside</v>
      </c>
      <c r="Q11" s="1" t="str">
        <f t="shared" si="9"/>
        <v>Clinic</v>
      </c>
      <c r="R11" s="17"/>
      <c r="S11" s="16"/>
      <c r="T11" s="32"/>
      <c r="U11" s="32"/>
      <c r="V11" s="32"/>
      <c r="CL11" s="1" t="s">
        <v>35</v>
      </c>
      <c r="CM11" s="1" t="s">
        <v>313</v>
      </c>
      <c r="CN11" s="1" t="s">
        <v>308</v>
      </c>
      <c r="CO11" s="1" t="s">
        <v>420</v>
      </c>
      <c r="CP11" s="11">
        <v>6176383634</v>
      </c>
      <c r="CQ11" s="14">
        <v>21</v>
      </c>
      <c r="CR11" s="1" t="s">
        <v>428</v>
      </c>
      <c r="CS11" s="1" t="s">
        <v>427</v>
      </c>
      <c r="CT11" s="1" t="s">
        <v>424</v>
      </c>
      <c r="CU11" s="1" t="str">
        <f t="shared" si="10"/>
        <v>Linda Wilson</v>
      </c>
      <c r="CX11" s="1" t="s">
        <v>92</v>
      </c>
      <c r="CY11" s="1" t="s">
        <v>302</v>
      </c>
      <c r="CZ11" s="1" t="s">
        <v>325</v>
      </c>
      <c r="DA11" s="1" t="s">
        <v>299</v>
      </c>
      <c r="DB11" s="2">
        <v>37177</v>
      </c>
      <c r="DC11" s="14">
        <v>7081396733</v>
      </c>
      <c r="DD11" s="1" t="s">
        <v>304</v>
      </c>
      <c r="DE11" s="2">
        <v>44797</v>
      </c>
      <c r="DF11" s="1" t="s">
        <v>288</v>
      </c>
      <c r="DG11" s="1" t="s">
        <v>326</v>
      </c>
      <c r="DH11" s="1" t="s">
        <v>327</v>
      </c>
      <c r="DI11" t="str">
        <f t="shared" si="11"/>
        <v>Michael Taylor</v>
      </c>
    </row>
    <row r="12" spans="1:113" x14ac:dyDescent="0.25">
      <c r="A12" s="1" t="s">
        <v>227</v>
      </c>
      <c r="B12" s="2">
        <v>45252</v>
      </c>
      <c r="C12" s="4">
        <v>0.60416666666666663</v>
      </c>
      <c r="D12" s="1" t="s">
        <v>10</v>
      </c>
      <c r="E12" s="1" t="s">
        <v>41</v>
      </c>
      <c r="F12" s="1" t="s">
        <v>81</v>
      </c>
      <c r="G12" s="1" t="str">
        <f t="shared" si="0"/>
        <v>Michael Wilson</v>
      </c>
      <c r="H12" s="1" t="str">
        <f t="shared" si="1"/>
        <v>M</v>
      </c>
      <c r="I12" s="2">
        <f t="shared" si="2"/>
        <v>37316</v>
      </c>
      <c r="J12" s="24">
        <f t="shared" ca="1" si="3"/>
        <v>24</v>
      </c>
      <c r="K12" s="24" t="str">
        <f t="shared" ca="1" si="4"/>
        <v>19-30 Group</v>
      </c>
      <c r="L12" s="1" t="s">
        <v>54</v>
      </c>
      <c r="M12" s="1" t="str">
        <f t="shared" si="5"/>
        <v>Linda Brown</v>
      </c>
      <c r="N12" s="1" t="str">
        <f t="shared" si="6"/>
        <v>Dermatology</v>
      </c>
      <c r="O12" s="27">
        <f t="shared" si="7"/>
        <v>5</v>
      </c>
      <c r="P12" s="14" t="str">
        <f t="shared" si="8"/>
        <v>Westside</v>
      </c>
      <c r="Q12" s="1" t="str">
        <f t="shared" si="9"/>
        <v>Clinic</v>
      </c>
      <c r="R12" s="17"/>
      <c r="S12" s="16"/>
      <c r="T12" s="32"/>
      <c r="U12" s="32"/>
      <c r="V12" s="32"/>
      <c r="CX12" s="1" t="s">
        <v>168</v>
      </c>
      <c r="CY12" s="1" t="s">
        <v>291</v>
      </c>
      <c r="CZ12" s="1" t="s">
        <v>298</v>
      </c>
      <c r="DA12" s="1" t="s">
        <v>286</v>
      </c>
      <c r="DB12" s="2">
        <v>24445</v>
      </c>
      <c r="DC12" s="14">
        <v>8990604070</v>
      </c>
      <c r="DD12" s="1" t="s">
        <v>287</v>
      </c>
      <c r="DE12" s="2">
        <v>44831</v>
      </c>
      <c r="DF12" s="1" t="s">
        <v>309</v>
      </c>
      <c r="DG12" s="1" t="s">
        <v>328</v>
      </c>
      <c r="DH12" s="1" t="s">
        <v>329</v>
      </c>
      <c r="DI12" t="str">
        <f t="shared" si="11"/>
        <v>Emily Jones</v>
      </c>
    </row>
    <row r="13" spans="1:113" x14ac:dyDescent="0.25">
      <c r="A13" s="1" t="s">
        <v>236</v>
      </c>
      <c r="B13" s="2">
        <v>45135</v>
      </c>
      <c r="C13" s="4">
        <v>0.71875</v>
      </c>
      <c r="D13" s="1" t="s">
        <v>10</v>
      </c>
      <c r="E13" s="1" t="s">
        <v>19</v>
      </c>
      <c r="F13" s="1" t="s">
        <v>61</v>
      </c>
      <c r="G13" s="1" t="str">
        <f t="shared" si="0"/>
        <v>Alex Taylor</v>
      </c>
      <c r="H13" s="1" t="str">
        <f t="shared" si="1"/>
        <v>M</v>
      </c>
      <c r="I13" s="2">
        <f t="shared" si="2"/>
        <v>24895</v>
      </c>
      <c r="J13" s="24">
        <f t="shared" ca="1" si="3"/>
        <v>58</v>
      </c>
      <c r="K13" s="24" t="str">
        <f t="shared" ca="1" si="4"/>
        <v>46-60 Group</v>
      </c>
      <c r="L13" s="1" t="s">
        <v>54</v>
      </c>
      <c r="M13" s="1" t="str">
        <f t="shared" si="5"/>
        <v>Linda Brown</v>
      </c>
      <c r="N13" s="1" t="str">
        <f t="shared" si="6"/>
        <v>Dermatology</v>
      </c>
      <c r="O13" s="27">
        <f t="shared" si="7"/>
        <v>5</v>
      </c>
      <c r="P13" s="14" t="str">
        <f t="shared" si="8"/>
        <v>Westside</v>
      </c>
      <c r="Q13" s="1" t="str">
        <f t="shared" si="9"/>
        <v>Clinic</v>
      </c>
      <c r="R13" s="17"/>
      <c r="S13" s="16"/>
      <c r="T13" s="32"/>
      <c r="U13" s="33"/>
      <c r="V13" s="32"/>
      <c r="CX13" s="1" t="s">
        <v>50</v>
      </c>
      <c r="CY13" s="1" t="s">
        <v>297</v>
      </c>
      <c r="CZ13" s="1" t="s">
        <v>319</v>
      </c>
      <c r="DA13" s="1" t="s">
        <v>286</v>
      </c>
      <c r="DB13" s="2">
        <v>33580</v>
      </c>
      <c r="DC13" s="14">
        <v>8135666049</v>
      </c>
      <c r="DD13" s="1" t="s">
        <v>293</v>
      </c>
      <c r="DE13" s="2">
        <v>45043</v>
      </c>
      <c r="DF13" s="1" t="s">
        <v>309</v>
      </c>
      <c r="DG13" s="1" t="s">
        <v>330</v>
      </c>
      <c r="DH13" s="1" t="s">
        <v>324</v>
      </c>
      <c r="DI13" t="str">
        <f t="shared" si="11"/>
        <v>Laura Davis</v>
      </c>
    </row>
    <row r="14" spans="1:113" x14ac:dyDescent="0.25">
      <c r="A14" s="1" t="s">
        <v>241</v>
      </c>
      <c r="B14" s="2">
        <v>45131</v>
      </c>
      <c r="C14" s="4">
        <v>0.69791666666666663</v>
      </c>
      <c r="D14" s="1" t="s">
        <v>38</v>
      </c>
      <c r="E14" s="1" t="s">
        <v>19</v>
      </c>
      <c r="F14" s="1" t="s">
        <v>45</v>
      </c>
      <c r="G14" s="1" t="str">
        <f t="shared" si="0"/>
        <v>David Smith</v>
      </c>
      <c r="H14" s="1" t="str">
        <f t="shared" si="1"/>
        <v>M</v>
      </c>
      <c r="I14" s="2">
        <f t="shared" si="2"/>
        <v>38487</v>
      </c>
      <c r="J14" s="24">
        <f t="shared" ca="1" si="3"/>
        <v>21</v>
      </c>
      <c r="K14" s="24" t="str">
        <f t="shared" ca="1" si="4"/>
        <v>19-30 Group</v>
      </c>
      <c r="L14" s="1" t="s">
        <v>54</v>
      </c>
      <c r="M14" s="1" t="str">
        <f t="shared" si="5"/>
        <v>Linda Brown</v>
      </c>
      <c r="N14" s="1" t="str">
        <f t="shared" si="6"/>
        <v>Dermatology</v>
      </c>
      <c r="O14" s="27">
        <f t="shared" si="7"/>
        <v>5</v>
      </c>
      <c r="P14" s="14" t="str">
        <f t="shared" si="8"/>
        <v>Westside</v>
      </c>
      <c r="Q14" s="1" t="str">
        <f t="shared" si="9"/>
        <v>Clinic</v>
      </c>
      <c r="R14" s="17"/>
      <c r="S14" s="16"/>
      <c r="T14" s="32"/>
      <c r="U14" s="33"/>
      <c r="V14" s="32"/>
      <c r="CX14" s="1" t="s">
        <v>142</v>
      </c>
      <c r="CY14" s="1" t="s">
        <v>297</v>
      </c>
      <c r="CZ14" s="1" t="s">
        <v>303</v>
      </c>
      <c r="DA14" s="1" t="s">
        <v>286</v>
      </c>
      <c r="DB14" s="2">
        <v>32960</v>
      </c>
      <c r="DC14" s="14">
        <v>9059178882</v>
      </c>
      <c r="DD14" s="1" t="s">
        <v>293</v>
      </c>
      <c r="DE14" s="2">
        <v>44553</v>
      </c>
      <c r="DF14" s="1" t="s">
        <v>288</v>
      </c>
      <c r="DG14" s="1" t="s">
        <v>331</v>
      </c>
      <c r="DH14" s="1" t="s">
        <v>332</v>
      </c>
      <c r="DI14" t="str">
        <f t="shared" si="11"/>
        <v>Laura Johnson</v>
      </c>
    </row>
    <row r="15" spans="1:113" x14ac:dyDescent="0.25">
      <c r="A15" s="1" t="s">
        <v>253</v>
      </c>
      <c r="B15" s="2">
        <v>44933</v>
      </c>
      <c r="C15" s="4">
        <v>0.45833333333333331</v>
      </c>
      <c r="D15" s="1" t="s">
        <v>18</v>
      </c>
      <c r="E15" s="1" t="s">
        <v>19</v>
      </c>
      <c r="F15" s="1" t="s">
        <v>163</v>
      </c>
      <c r="G15" s="1" t="str">
        <f t="shared" si="0"/>
        <v>Alex Johnson</v>
      </c>
      <c r="H15" s="1" t="str">
        <f t="shared" si="1"/>
        <v>F</v>
      </c>
      <c r="I15" s="2">
        <f t="shared" si="2"/>
        <v>32667</v>
      </c>
      <c r="J15" s="24">
        <f t="shared" ca="1" si="3"/>
        <v>37</v>
      </c>
      <c r="K15" s="24" t="str">
        <f t="shared" ca="1" si="4"/>
        <v>31-45 Group</v>
      </c>
      <c r="L15" s="1" t="s">
        <v>54</v>
      </c>
      <c r="M15" s="1" t="str">
        <f t="shared" si="5"/>
        <v>Linda Brown</v>
      </c>
      <c r="N15" s="1" t="str">
        <f t="shared" si="6"/>
        <v>Dermatology</v>
      </c>
      <c r="O15" s="27">
        <f t="shared" si="7"/>
        <v>5</v>
      </c>
      <c r="P15" s="14" t="str">
        <f t="shared" si="8"/>
        <v>Westside</v>
      </c>
      <c r="Q15" s="1" t="str">
        <f t="shared" si="9"/>
        <v>Clinic</v>
      </c>
      <c r="R15" s="17"/>
      <c r="S15" s="16"/>
      <c r="T15" s="32"/>
      <c r="U15" s="33"/>
      <c r="V15" s="32"/>
      <c r="CX15" s="1" t="s">
        <v>61</v>
      </c>
      <c r="CY15" s="1" t="s">
        <v>316</v>
      </c>
      <c r="CZ15" s="1" t="s">
        <v>325</v>
      </c>
      <c r="DA15" s="1" t="s">
        <v>299</v>
      </c>
      <c r="DB15" s="2">
        <v>24895</v>
      </c>
      <c r="DC15" s="14">
        <v>7292262512</v>
      </c>
      <c r="DD15" s="1" t="s">
        <v>287</v>
      </c>
      <c r="DE15" s="2">
        <v>45272</v>
      </c>
      <c r="DF15" s="1" t="s">
        <v>309</v>
      </c>
      <c r="DG15" s="1" t="s">
        <v>333</v>
      </c>
      <c r="DH15" s="1" t="s">
        <v>334</v>
      </c>
      <c r="DI15" t="str">
        <f t="shared" si="11"/>
        <v>Alex Taylor</v>
      </c>
    </row>
    <row r="16" spans="1:113" x14ac:dyDescent="0.25">
      <c r="A16" s="1" t="s">
        <v>255</v>
      </c>
      <c r="B16" s="2">
        <v>45028</v>
      </c>
      <c r="C16" s="4">
        <v>0.33333333333333331</v>
      </c>
      <c r="D16" s="1" t="s">
        <v>38</v>
      </c>
      <c r="E16" s="1" t="s">
        <v>41</v>
      </c>
      <c r="F16" s="1" t="s">
        <v>142</v>
      </c>
      <c r="G16" s="1" t="str">
        <f t="shared" si="0"/>
        <v>Laura Johnson</v>
      </c>
      <c r="H16" s="1" t="str">
        <f t="shared" si="1"/>
        <v>F</v>
      </c>
      <c r="I16" s="2">
        <f t="shared" si="2"/>
        <v>32960</v>
      </c>
      <c r="J16" s="24">
        <f t="shared" ca="1" si="3"/>
        <v>36</v>
      </c>
      <c r="K16" s="24" t="str">
        <f t="shared" ca="1" si="4"/>
        <v>31-45 Group</v>
      </c>
      <c r="L16" s="1" t="s">
        <v>54</v>
      </c>
      <c r="M16" s="1" t="str">
        <f t="shared" si="5"/>
        <v>Linda Brown</v>
      </c>
      <c r="N16" s="1" t="str">
        <f t="shared" si="6"/>
        <v>Dermatology</v>
      </c>
      <c r="O16" s="27">
        <f t="shared" si="7"/>
        <v>5</v>
      </c>
      <c r="P16" s="14" t="str">
        <f t="shared" si="8"/>
        <v>Westside</v>
      </c>
      <c r="Q16" s="1" t="str">
        <f t="shared" si="9"/>
        <v>Clinic</v>
      </c>
      <c r="R16" s="17"/>
      <c r="S16" s="16"/>
      <c r="T16" s="32"/>
      <c r="U16" s="33"/>
      <c r="V16" s="32"/>
      <c r="CX16" s="1" t="s">
        <v>335</v>
      </c>
      <c r="CY16" s="1" t="s">
        <v>336</v>
      </c>
      <c r="CZ16" s="1" t="s">
        <v>303</v>
      </c>
      <c r="DA16" s="1" t="s">
        <v>299</v>
      </c>
      <c r="DB16" s="2">
        <v>23508</v>
      </c>
      <c r="DC16" s="14">
        <v>6636028516</v>
      </c>
      <c r="DD16" s="1" t="s">
        <v>293</v>
      </c>
      <c r="DE16" s="2">
        <v>44464</v>
      </c>
      <c r="DF16" s="1" t="s">
        <v>288</v>
      </c>
      <c r="DG16" s="1" t="s">
        <v>337</v>
      </c>
      <c r="DH16" s="1" t="s">
        <v>338</v>
      </c>
      <c r="DI16" t="str">
        <f t="shared" si="11"/>
        <v>Sarah Johnson</v>
      </c>
    </row>
    <row r="17" spans="1:113" x14ac:dyDescent="0.25">
      <c r="A17" s="1" t="s">
        <v>257</v>
      </c>
      <c r="B17" s="2">
        <v>44983</v>
      </c>
      <c r="C17" s="4">
        <v>0.73958333333333337</v>
      </c>
      <c r="D17" s="1" t="s">
        <v>10</v>
      </c>
      <c r="E17" s="1" t="s">
        <v>41</v>
      </c>
      <c r="F17" s="1" t="s">
        <v>234</v>
      </c>
      <c r="G17" s="1" t="str">
        <f t="shared" si="0"/>
        <v>Jane Smith</v>
      </c>
      <c r="H17" s="1" t="str">
        <f t="shared" si="1"/>
        <v>F</v>
      </c>
      <c r="I17" s="2">
        <f t="shared" si="2"/>
        <v>19958</v>
      </c>
      <c r="J17" s="24">
        <f t="shared" ca="1" si="3"/>
        <v>72</v>
      </c>
      <c r="K17" s="24" t="str">
        <f t="shared" ca="1" si="4"/>
        <v xml:space="preserve">60+ </v>
      </c>
      <c r="L17" s="1" t="s">
        <v>54</v>
      </c>
      <c r="M17" s="1" t="str">
        <f t="shared" si="5"/>
        <v>Linda Brown</v>
      </c>
      <c r="N17" s="1" t="str">
        <f t="shared" si="6"/>
        <v>Dermatology</v>
      </c>
      <c r="O17" s="27">
        <f t="shared" si="7"/>
        <v>5</v>
      </c>
      <c r="P17" s="14" t="str">
        <f t="shared" si="8"/>
        <v>Westside</v>
      </c>
      <c r="Q17" s="1" t="str">
        <f t="shared" si="9"/>
        <v>Clinic</v>
      </c>
      <c r="R17" s="17"/>
      <c r="S17" s="16"/>
      <c r="T17" s="32"/>
      <c r="U17" s="32"/>
      <c r="V17" s="32"/>
      <c r="CX17" s="1" t="s">
        <v>34</v>
      </c>
      <c r="CY17" s="1" t="s">
        <v>302</v>
      </c>
      <c r="CZ17" s="1" t="s">
        <v>325</v>
      </c>
      <c r="DA17" s="1" t="s">
        <v>299</v>
      </c>
      <c r="DB17" s="2">
        <v>36729</v>
      </c>
      <c r="DC17" s="14">
        <v>7223380592</v>
      </c>
      <c r="DD17" s="1" t="s">
        <v>287</v>
      </c>
      <c r="DE17" s="2">
        <v>44400</v>
      </c>
      <c r="DF17" s="1" t="s">
        <v>294</v>
      </c>
      <c r="DG17" s="1" t="s">
        <v>339</v>
      </c>
      <c r="DH17" s="1" t="s">
        <v>327</v>
      </c>
      <c r="DI17" t="str">
        <f t="shared" si="11"/>
        <v>Michael Taylor</v>
      </c>
    </row>
    <row r="18" spans="1:113" x14ac:dyDescent="0.25">
      <c r="A18" s="1" t="s">
        <v>58</v>
      </c>
      <c r="B18" s="2">
        <v>44963</v>
      </c>
      <c r="C18" s="4">
        <v>0.64583333333333337</v>
      </c>
      <c r="D18" s="1" t="s">
        <v>29</v>
      </c>
      <c r="E18" s="1" t="s">
        <v>19</v>
      </c>
      <c r="F18" s="1" t="s">
        <v>45</v>
      </c>
      <c r="G18" s="1" t="str">
        <f t="shared" si="0"/>
        <v>David Smith</v>
      </c>
      <c r="H18" s="1" t="str">
        <f t="shared" si="1"/>
        <v>M</v>
      </c>
      <c r="I18" s="2">
        <f t="shared" si="2"/>
        <v>38487</v>
      </c>
      <c r="J18" s="24">
        <f t="shared" ca="1" si="3"/>
        <v>21</v>
      </c>
      <c r="K18" s="24" t="str">
        <f t="shared" ca="1" si="4"/>
        <v>19-30 Group</v>
      </c>
      <c r="L18" s="1" t="s">
        <v>59</v>
      </c>
      <c r="M18" s="1" t="str">
        <f t="shared" si="5"/>
        <v>David Taylor</v>
      </c>
      <c r="N18" s="1" t="str">
        <f t="shared" si="6"/>
        <v>Dermatology</v>
      </c>
      <c r="O18" s="24">
        <f t="shared" si="7"/>
        <v>17</v>
      </c>
      <c r="P18" s="14" t="str">
        <f t="shared" si="8"/>
        <v>Westside</v>
      </c>
      <c r="Q18" s="1" t="str">
        <f t="shared" si="9"/>
        <v>Clinic</v>
      </c>
      <c r="R18" s="17"/>
      <c r="S18" s="16"/>
      <c r="T18" s="32"/>
      <c r="U18" s="32"/>
      <c r="V18" s="32"/>
      <c r="CX18" s="1" t="s">
        <v>151</v>
      </c>
      <c r="CY18" s="1" t="s">
        <v>340</v>
      </c>
      <c r="CZ18" s="1" t="s">
        <v>298</v>
      </c>
      <c r="DA18" s="1" t="s">
        <v>299</v>
      </c>
      <c r="DB18" s="2">
        <v>33359</v>
      </c>
      <c r="DC18" s="14">
        <v>6158428240</v>
      </c>
      <c r="DD18" s="1" t="s">
        <v>320</v>
      </c>
      <c r="DE18" s="2">
        <v>44830</v>
      </c>
      <c r="DF18" s="1" t="s">
        <v>288</v>
      </c>
      <c r="DG18" s="1" t="s">
        <v>341</v>
      </c>
      <c r="DH18" s="1" t="s">
        <v>342</v>
      </c>
      <c r="DI18" t="str">
        <f t="shared" si="11"/>
        <v>Jane Jones</v>
      </c>
    </row>
    <row r="19" spans="1:113" x14ac:dyDescent="0.25">
      <c r="A19" s="1" t="s">
        <v>64</v>
      </c>
      <c r="B19" s="2">
        <v>45244</v>
      </c>
      <c r="C19" s="4">
        <v>0.54166666666666663</v>
      </c>
      <c r="D19" s="1" t="s">
        <v>18</v>
      </c>
      <c r="E19" s="1" t="s">
        <v>15</v>
      </c>
      <c r="F19" s="1" t="s">
        <v>40</v>
      </c>
      <c r="G19" s="1" t="str">
        <f t="shared" si="0"/>
        <v>David Wilson</v>
      </c>
      <c r="H19" s="1" t="str">
        <f t="shared" si="1"/>
        <v>M</v>
      </c>
      <c r="I19" s="2">
        <f t="shared" si="2"/>
        <v>22090</v>
      </c>
      <c r="J19" s="24">
        <f t="shared" ca="1" si="3"/>
        <v>66</v>
      </c>
      <c r="K19" s="24" t="str">
        <f t="shared" ca="1" si="4"/>
        <v xml:space="preserve">60+ </v>
      </c>
      <c r="L19" s="1" t="s">
        <v>59</v>
      </c>
      <c r="M19" s="1" t="str">
        <f t="shared" si="5"/>
        <v>David Taylor</v>
      </c>
      <c r="N19" s="1" t="str">
        <f t="shared" si="6"/>
        <v>Dermatology</v>
      </c>
      <c r="O19" s="24">
        <f t="shared" si="7"/>
        <v>17</v>
      </c>
      <c r="P19" s="14" t="str">
        <f t="shared" si="8"/>
        <v>Westside</v>
      </c>
      <c r="Q19" s="1" t="str">
        <f t="shared" si="9"/>
        <v>Clinic</v>
      </c>
      <c r="R19" s="17"/>
      <c r="S19" s="16"/>
      <c r="T19" s="16"/>
      <c r="U19" s="16"/>
      <c r="V19" s="31"/>
      <c r="CX19" s="1" t="s">
        <v>185</v>
      </c>
      <c r="CY19" s="1" t="s">
        <v>297</v>
      </c>
      <c r="CZ19" s="1" t="s">
        <v>308</v>
      </c>
      <c r="DA19" s="1" t="s">
        <v>299</v>
      </c>
      <c r="DB19" s="2">
        <v>29122</v>
      </c>
      <c r="DC19" s="14">
        <v>7145815738</v>
      </c>
      <c r="DD19" s="1" t="s">
        <v>287</v>
      </c>
      <c r="DE19" s="2">
        <v>44827</v>
      </c>
      <c r="DF19" s="1" t="s">
        <v>294</v>
      </c>
      <c r="DG19" s="1" t="s">
        <v>343</v>
      </c>
      <c r="DH19" s="1" t="s">
        <v>344</v>
      </c>
      <c r="DI19" t="str">
        <f t="shared" si="11"/>
        <v>Laura Wilson</v>
      </c>
    </row>
    <row r="20" spans="1:113" x14ac:dyDescent="0.25">
      <c r="A20" s="1" t="s">
        <v>69</v>
      </c>
      <c r="B20" s="2">
        <v>44982</v>
      </c>
      <c r="C20" s="4">
        <v>0.33333333333333331</v>
      </c>
      <c r="D20" s="1" t="s">
        <v>38</v>
      </c>
      <c r="E20" s="1" t="s">
        <v>15</v>
      </c>
      <c r="F20" s="1" t="s">
        <v>70</v>
      </c>
      <c r="G20" s="1" t="str">
        <f t="shared" si="0"/>
        <v>Emily Moore</v>
      </c>
      <c r="H20" s="1" t="str">
        <f t="shared" si="1"/>
        <v>M</v>
      </c>
      <c r="I20" s="2">
        <f t="shared" si="2"/>
        <v>23734</v>
      </c>
      <c r="J20" s="24">
        <f t="shared" ca="1" si="3"/>
        <v>61</v>
      </c>
      <c r="K20" s="24" t="str">
        <f t="shared" ca="1" si="4"/>
        <v xml:space="preserve">60+ </v>
      </c>
      <c r="L20" s="1" t="s">
        <v>59</v>
      </c>
      <c r="M20" s="1" t="str">
        <f t="shared" si="5"/>
        <v>David Taylor</v>
      </c>
      <c r="N20" s="1" t="str">
        <f t="shared" si="6"/>
        <v>Dermatology</v>
      </c>
      <c r="O20" s="24">
        <f t="shared" si="7"/>
        <v>17</v>
      </c>
      <c r="P20" s="14" t="str">
        <f t="shared" si="8"/>
        <v>Westside</v>
      </c>
      <c r="Q20" s="1" t="str">
        <f t="shared" si="9"/>
        <v>Clinic</v>
      </c>
      <c r="R20" s="17"/>
      <c r="S20" s="16"/>
      <c r="T20" s="16"/>
      <c r="U20" s="16"/>
      <c r="V20" s="31"/>
      <c r="CX20" s="1" t="s">
        <v>100</v>
      </c>
      <c r="CY20" s="1" t="s">
        <v>336</v>
      </c>
      <c r="CZ20" s="1" t="s">
        <v>345</v>
      </c>
      <c r="DA20" s="1" t="s">
        <v>299</v>
      </c>
      <c r="DB20" s="2">
        <v>27538</v>
      </c>
      <c r="DC20" s="14">
        <v>8618058864</v>
      </c>
      <c r="DD20" s="1" t="s">
        <v>287</v>
      </c>
      <c r="DE20" s="2">
        <v>45101</v>
      </c>
      <c r="DF20" s="1" t="s">
        <v>288</v>
      </c>
      <c r="DG20" s="1" t="s">
        <v>346</v>
      </c>
      <c r="DH20" s="1" t="s">
        <v>347</v>
      </c>
      <c r="DI20" t="str">
        <f t="shared" si="11"/>
        <v>Sarah Miller</v>
      </c>
    </row>
    <row r="21" spans="1:113" x14ac:dyDescent="0.25">
      <c r="A21" s="1" t="s">
        <v>93</v>
      </c>
      <c r="B21" s="2">
        <v>44927</v>
      </c>
      <c r="C21" s="4">
        <v>0.58333333333333337</v>
      </c>
      <c r="D21" s="1" t="s">
        <v>26</v>
      </c>
      <c r="E21" s="1" t="s">
        <v>15</v>
      </c>
      <c r="F21" s="1" t="s">
        <v>40</v>
      </c>
      <c r="G21" s="1" t="str">
        <f t="shared" si="0"/>
        <v>David Wilson</v>
      </c>
      <c r="H21" s="1" t="str">
        <f t="shared" si="1"/>
        <v>M</v>
      </c>
      <c r="I21" s="2">
        <f t="shared" si="2"/>
        <v>22090</v>
      </c>
      <c r="J21" s="24">
        <f t="shared" ca="1" si="3"/>
        <v>66</v>
      </c>
      <c r="K21" s="24" t="str">
        <f t="shared" ca="1" si="4"/>
        <v xml:space="preserve">60+ </v>
      </c>
      <c r="L21" s="1" t="s">
        <v>59</v>
      </c>
      <c r="M21" s="1" t="str">
        <f t="shared" si="5"/>
        <v>David Taylor</v>
      </c>
      <c r="N21" s="1" t="str">
        <f t="shared" si="6"/>
        <v>Dermatology</v>
      </c>
      <c r="O21" s="24">
        <f t="shared" si="7"/>
        <v>17</v>
      </c>
      <c r="P21" s="14" t="str">
        <f t="shared" si="8"/>
        <v>Westside</v>
      </c>
      <c r="Q21" s="1" t="str">
        <f t="shared" si="9"/>
        <v>Clinic</v>
      </c>
      <c r="R21" s="17"/>
      <c r="S21" s="16"/>
      <c r="T21" s="16"/>
      <c r="U21" s="16"/>
      <c r="V21" s="31"/>
      <c r="CX21" s="1" t="s">
        <v>119</v>
      </c>
      <c r="CY21" s="1" t="s">
        <v>340</v>
      </c>
      <c r="CZ21" s="1" t="s">
        <v>348</v>
      </c>
      <c r="DA21" s="1" t="s">
        <v>286</v>
      </c>
      <c r="DB21" s="2">
        <v>37778</v>
      </c>
      <c r="DC21" s="14">
        <v>8158989953</v>
      </c>
      <c r="DD21" s="1" t="s">
        <v>287</v>
      </c>
      <c r="DE21" s="2">
        <v>44654</v>
      </c>
      <c r="DF21" s="1" t="s">
        <v>309</v>
      </c>
      <c r="DG21" s="1" t="s">
        <v>349</v>
      </c>
      <c r="DH21" s="1" t="s">
        <v>350</v>
      </c>
      <c r="DI21" t="str">
        <f t="shared" si="11"/>
        <v>Jane Moore</v>
      </c>
    </row>
    <row r="22" spans="1:113" x14ac:dyDescent="0.25">
      <c r="A22" s="1" t="s">
        <v>94</v>
      </c>
      <c r="B22" s="2">
        <v>45006</v>
      </c>
      <c r="C22" s="4">
        <v>0.46875</v>
      </c>
      <c r="D22" s="1" t="s">
        <v>26</v>
      </c>
      <c r="E22" s="1" t="s">
        <v>11</v>
      </c>
      <c r="F22" s="1" t="s">
        <v>84</v>
      </c>
      <c r="G22" s="1" t="str">
        <f t="shared" si="0"/>
        <v>Michael Wilson</v>
      </c>
      <c r="H22" s="1" t="str">
        <f t="shared" si="1"/>
        <v>M</v>
      </c>
      <c r="I22" s="2">
        <f t="shared" si="2"/>
        <v>35790</v>
      </c>
      <c r="J22" s="24">
        <f t="shared" ca="1" si="3"/>
        <v>28</v>
      </c>
      <c r="K22" s="24" t="str">
        <f t="shared" ca="1" si="4"/>
        <v>19-30 Group</v>
      </c>
      <c r="L22" s="1" t="s">
        <v>59</v>
      </c>
      <c r="M22" s="1" t="str">
        <f t="shared" si="5"/>
        <v>David Taylor</v>
      </c>
      <c r="N22" s="1" t="str">
        <f t="shared" si="6"/>
        <v>Dermatology</v>
      </c>
      <c r="O22" s="24">
        <f t="shared" si="7"/>
        <v>17</v>
      </c>
      <c r="P22" s="14" t="str">
        <f t="shared" si="8"/>
        <v>Westside</v>
      </c>
      <c r="Q22" s="1" t="str">
        <f t="shared" si="9"/>
        <v>Clinic</v>
      </c>
      <c r="R22" s="17"/>
      <c r="S22" s="16"/>
      <c r="T22" s="16"/>
      <c r="U22" s="16"/>
      <c r="V22" s="31"/>
      <c r="CX22" s="1" t="s">
        <v>81</v>
      </c>
      <c r="CY22" s="1" t="s">
        <v>302</v>
      </c>
      <c r="CZ22" s="1" t="s">
        <v>308</v>
      </c>
      <c r="DA22" s="1" t="s">
        <v>299</v>
      </c>
      <c r="DB22" s="2">
        <v>37316</v>
      </c>
      <c r="DC22" s="14">
        <v>7765390555</v>
      </c>
      <c r="DD22" s="1" t="s">
        <v>293</v>
      </c>
      <c r="DE22" s="2">
        <v>44580</v>
      </c>
      <c r="DF22" s="1" t="s">
        <v>288</v>
      </c>
      <c r="DG22" s="1" t="s">
        <v>351</v>
      </c>
      <c r="DH22" s="1" t="s">
        <v>352</v>
      </c>
      <c r="DI22" t="str">
        <f t="shared" si="11"/>
        <v>Michael Wilson</v>
      </c>
    </row>
    <row r="23" spans="1:113" x14ac:dyDescent="0.25">
      <c r="A23" s="1" t="s">
        <v>126</v>
      </c>
      <c r="B23" s="2">
        <v>45040</v>
      </c>
      <c r="C23" s="4">
        <v>0.65625</v>
      </c>
      <c r="D23" s="1" t="s">
        <v>26</v>
      </c>
      <c r="E23" s="1" t="s">
        <v>19</v>
      </c>
      <c r="F23" s="1" t="s">
        <v>86</v>
      </c>
      <c r="G23" s="1" t="str">
        <f t="shared" si="0"/>
        <v>Michael Wilson</v>
      </c>
      <c r="H23" s="1" t="str">
        <f t="shared" si="1"/>
        <v>F</v>
      </c>
      <c r="I23" s="2">
        <f t="shared" si="2"/>
        <v>25605</v>
      </c>
      <c r="J23" s="24">
        <f t="shared" ca="1" si="3"/>
        <v>56</v>
      </c>
      <c r="K23" s="24" t="str">
        <f t="shared" ca="1" si="4"/>
        <v>46-60 Group</v>
      </c>
      <c r="L23" s="1" t="s">
        <v>59</v>
      </c>
      <c r="M23" s="1" t="str">
        <f t="shared" si="5"/>
        <v>David Taylor</v>
      </c>
      <c r="N23" s="1" t="str">
        <f t="shared" si="6"/>
        <v>Dermatology</v>
      </c>
      <c r="O23" s="24">
        <f t="shared" si="7"/>
        <v>17</v>
      </c>
      <c r="P23" s="14" t="str">
        <f t="shared" si="8"/>
        <v>Westside</v>
      </c>
      <c r="Q23" s="1" t="str">
        <f t="shared" si="9"/>
        <v>Clinic</v>
      </c>
      <c r="R23" s="17"/>
      <c r="S23" s="16"/>
      <c r="T23" s="16"/>
      <c r="U23" s="16"/>
      <c r="V23" s="31"/>
      <c r="CX23" s="1" t="s">
        <v>43</v>
      </c>
      <c r="CY23" s="1" t="s">
        <v>353</v>
      </c>
      <c r="CZ23" s="1" t="s">
        <v>354</v>
      </c>
      <c r="DA23" s="1" t="s">
        <v>299</v>
      </c>
      <c r="DB23" s="2">
        <v>20219</v>
      </c>
      <c r="DC23" s="14">
        <v>6221099573</v>
      </c>
      <c r="DD23" s="1" t="s">
        <v>293</v>
      </c>
      <c r="DE23" s="2">
        <v>44327</v>
      </c>
      <c r="DF23" s="1" t="s">
        <v>309</v>
      </c>
      <c r="DG23" s="1" t="s">
        <v>355</v>
      </c>
      <c r="DH23" s="1" t="s">
        <v>356</v>
      </c>
      <c r="DI23" t="str">
        <f t="shared" si="11"/>
        <v>John Brown</v>
      </c>
    </row>
    <row r="24" spans="1:113" x14ac:dyDescent="0.25">
      <c r="A24" s="1" t="s">
        <v>128</v>
      </c>
      <c r="B24" s="2">
        <v>45148</v>
      </c>
      <c r="C24" s="4">
        <v>0.45833333333333331</v>
      </c>
      <c r="D24" s="1" t="s">
        <v>38</v>
      </c>
      <c r="E24" s="1" t="s">
        <v>11</v>
      </c>
      <c r="F24" s="1" t="s">
        <v>129</v>
      </c>
      <c r="G24" s="1" t="str">
        <f t="shared" si="0"/>
        <v>Linda Brown</v>
      </c>
      <c r="H24" s="1" t="str">
        <f t="shared" si="1"/>
        <v>M</v>
      </c>
      <c r="I24" s="2">
        <f t="shared" si="2"/>
        <v>29305</v>
      </c>
      <c r="J24" s="24">
        <f t="shared" ca="1" si="3"/>
        <v>46</v>
      </c>
      <c r="K24" s="24" t="str">
        <f t="shared" ca="1" si="4"/>
        <v>46-60 Group</v>
      </c>
      <c r="L24" s="1" t="s">
        <v>59</v>
      </c>
      <c r="M24" s="1" t="str">
        <f t="shared" si="5"/>
        <v>David Taylor</v>
      </c>
      <c r="N24" s="1" t="str">
        <f t="shared" si="6"/>
        <v>Dermatology</v>
      </c>
      <c r="O24" s="24">
        <f t="shared" si="7"/>
        <v>17</v>
      </c>
      <c r="P24" s="14" t="str">
        <f t="shared" si="8"/>
        <v>Westside</v>
      </c>
      <c r="Q24" s="1" t="str">
        <f t="shared" si="9"/>
        <v>Clinic</v>
      </c>
      <c r="R24" s="17"/>
      <c r="S24" s="16"/>
      <c r="T24" s="16"/>
      <c r="U24" s="16"/>
      <c r="V24" s="31"/>
      <c r="CX24" s="1" t="s">
        <v>90</v>
      </c>
      <c r="CY24" s="1" t="s">
        <v>313</v>
      </c>
      <c r="CZ24" s="1" t="s">
        <v>303</v>
      </c>
      <c r="DA24" s="1" t="s">
        <v>299</v>
      </c>
      <c r="DB24" s="2">
        <v>34387</v>
      </c>
      <c r="DC24" s="14">
        <v>6141951830</v>
      </c>
      <c r="DD24" s="1" t="s">
        <v>287</v>
      </c>
      <c r="DE24" s="2">
        <v>44557</v>
      </c>
      <c r="DF24" s="1" t="s">
        <v>288</v>
      </c>
      <c r="DG24" s="1" t="s">
        <v>357</v>
      </c>
      <c r="DH24" s="1" t="s">
        <v>358</v>
      </c>
      <c r="DI24" t="str">
        <f t="shared" si="11"/>
        <v>Linda Johnson</v>
      </c>
    </row>
    <row r="25" spans="1:113" x14ac:dyDescent="0.25">
      <c r="A25" s="1" t="s">
        <v>147</v>
      </c>
      <c r="B25" s="2">
        <v>45237</v>
      </c>
      <c r="C25" s="4">
        <v>0.52083333333333337</v>
      </c>
      <c r="D25" s="1" t="s">
        <v>26</v>
      </c>
      <c r="E25" s="1" t="s">
        <v>41</v>
      </c>
      <c r="F25" s="1" t="s">
        <v>123</v>
      </c>
      <c r="G25" s="1" t="str">
        <f t="shared" si="0"/>
        <v>Laura Wilson</v>
      </c>
      <c r="H25" s="1" t="str">
        <f t="shared" si="1"/>
        <v>M</v>
      </c>
      <c r="I25" s="2">
        <f t="shared" si="2"/>
        <v>34330</v>
      </c>
      <c r="J25" s="24">
        <f t="shared" ca="1" si="3"/>
        <v>32</v>
      </c>
      <c r="K25" s="24" t="str">
        <f t="shared" ca="1" si="4"/>
        <v>31-45 Group</v>
      </c>
      <c r="L25" s="1" t="s">
        <v>59</v>
      </c>
      <c r="M25" s="1" t="str">
        <f t="shared" si="5"/>
        <v>David Taylor</v>
      </c>
      <c r="N25" s="1" t="str">
        <f t="shared" si="6"/>
        <v>Dermatology</v>
      </c>
      <c r="O25" s="24">
        <f t="shared" si="7"/>
        <v>17</v>
      </c>
      <c r="P25" s="14" t="str">
        <f t="shared" si="8"/>
        <v>Westside</v>
      </c>
      <c r="Q25" s="1" t="str">
        <f t="shared" si="9"/>
        <v>Clinic</v>
      </c>
      <c r="R25" s="17"/>
      <c r="S25" s="16"/>
      <c r="T25" s="16"/>
      <c r="U25" s="16"/>
      <c r="V25" s="31"/>
      <c r="CX25" s="1" t="s">
        <v>109</v>
      </c>
      <c r="CY25" s="1" t="s">
        <v>336</v>
      </c>
      <c r="CZ25" s="1" t="s">
        <v>354</v>
      </c>
      <c r="DA25" s="1" t="s">
        <v>286</v>
      </c>
      <c r="DB25" s="2">
        <v>33546</v>
      </c>
      <c r="DC25" s="14">
        <v>7196777444</v>
      </c>
      <c r="DD25" s="1" t="s">
        <v>293</v>
      </c>
      <c r="DE25" s="2">
        <v>44441</v>
      </c>
      <c r="DF25" s="1" t="s">
        <v>288</v>
      </c>
      <c r="DG25" s="1" t="s">
        <v>359</v>
      </c>
      <c r="DH25" s="1" t="s">
        <v>360</v>
      </c>
      <c r="DI25" t="str">
        <f t="shared" si="11"/>
        <v>Sarah Brown</v>
      </c>
    </row>
    <row r="26" spans="1:113" x14ac:dyDescent="0.25">
      <c r="A26" s="1" t="s">
        <v>149</v>
      </c>
      <c r="B26" s="2">
        <v>44975</v>
      </c>
      <c r="C26" s="4">
        <v>0.67708333333333337</v>
      </c>
      <c r="D26" s="1" t="s">
        <v>38</v>
      </c>
      <c r="E26" s="1" t="s">
        <v>19</v>
      </c>
      <c r="F26" s="1" t="s">
        <v>90</v>
      </c>
      <c r="G26" s="1" t="str">
        <f t="shared" si="0"/>
        <v>Linda Johnson</v>
      </c>
      <c r="H26" s="1" t="str">
        <f t="shared" si="1"/>
        <v>M</v>
      </c>
      <c r="I26" s="2">
        <f t="shared" si="2"/>
        <v>34387</v>
      </c>
      <c r="J26" s="24">
        <f t="shared" ca="1" si="3"/>
        <v>32</v>
      </c>
      <c r="K26" s="24" t="str">
        <f t="shared" ca="1" si="4"/>
        <v>31-45 Group</v>
      </c>
      <c r="L26" s="1" t="s">
        <v>59</v>
      </c>
      <c r="M26" s="1" t="str">
        <f t="shared" si="5"/>
        <v>David Taylor</v>
      </c>
      <c r="N26" s="1" t="str">
        <f t="shared" si="6"/>
        <v>Dermatology</v>
      </c>
      <c r="O26" s="24">
        <f t="shared" si="7"/>
        <v>17</v>
      </c>
      <c r="P26" s="14" t="str">
        <f t="shared" si="8"/>
        <v>Westside</v>
      </c>
      <c r="Q26" s="1" t="str">
        <f t="shared" si="9"/>
        <v>Clinic</v>
      </c>
      <c r="R26" s="17"/>
      <c r="S26" s="16"/>
      <c r="T26" s="16"/>
      <c r="U26" s="16"/>
      <c r="V26" s="31"/>
      <c r="CX26" s="1" t="s">
        <v>21</v>
      </c>
      <c r="CY26" s="1" t="s">
        <v>361</v>
      </c>
      <c r="CZ26" s="1" t="s">
        <v>308</v>
      </c>
      <c r="DA26" s="1" t="s">
        <v>299</v>
      </c>
      <c r="DB26" s="2">
        <v>24333</v>
      </c>
      <c r="DC26" s="14">
        <v>7482069727</v>
      </c>
      <c r="DD26" s="1" t="s">
        <v>304</v>
      </c>
      <c r="DE26" s="2">
        <v>44448</v>
      </c>
      <c r="DF26" s="1" t="s">
        <v>305</v>
      </c>
      <c r="DG26" s="1" t="s">
        <v>362</v>
      </c>
      <c r="DH26" s="1" t="s">
        <v>363</v>
      </c>
      <c r="DI26" t="str">
        <f t="shared" si="11"/>
        <v>Robert Wilson</v>
      </c>
    </row>
    <row r="27" spans="1:113" x14ac:dyDescent="0.25">
      <c r="A27" s="1" t="s">
        <v>152</v>
      </c>
      <c r="B27" s="2">
        <v>45218</v>
      </c>
      <c r="C27" s="4">
        <v>0.51041666666666663</v>
      </c>
      <c r="D27" s="1" t="s">
        <v>38</v>
      </c>
      <c r="E27" s="1" t="s">
        <v>19</v>
      </c>
      <c r="F27" s="1" t="s">
        <v>52</v>
      </c>
      <c r="G27" s="1" t="str">
        <f t="shared" si="0"/>
        <v>John Taylor</v>
      </c>
      <c r="H27" s="1" t="str">
        <f t="shared" si="1"/>
        <v>M</v>
      </c>
      <c r="I27" s="2">
        <f t="shared" si="2"/>
        <v>37953</v>
      </c>
      <c r="J27" s="24">
        <f t="shared" ca="1" si="3"/>
        <v>22</v>
      </c>
      <c r="K27" s="24" t="str">
        <f t="shared" ca="1" si="4"/>
        <v>19-30 Group</v>
      </c>
      <c r="L27" s="1" t="s">
        <v>59</v>
      </c>
      <c r="M27" s="1" t="str">
        <f t="shared" si="5"/>
        <v>David Taylor</v>
      </c>
      <c r="N27" s="1" t="str">
        <f t="shared" si="6"/>
        <v>Dermatology</v>
      </c>
      <c r="O27" s="24">
        <f t="shared" si="7"/>
        <v>17</v>
      </c>
      <c r="P27" s="14" t="str">
        <f t="shared" si="8"/>
        <v>Westside</v>
      </c>
      <c r="Q27" s="1" t="str">
        <f t="shared" si="9"/>
        <v>Clinic</v>
      </c>
      <c r="R27" s="17"/>
      <c r="S27" s="16"/>
      <c r="T27" s="16"/>
      <c r="U27" s="16"/>
      <c r="V27" s="31"/>
      <c r="CX27" s="1" t="s">
        <v>52</v>
      </c>
      <c r="CY27" s="1" t="s">
        <v>353</v>
      </c>
      <c r="CZ27" s="1" t="s">
        <v>325</v>
      </c>
      <c r="DA27" s="1" t="s">
        <v>299</v>
      </c>
      <c r="DB27" s="2">
        <v>37953</v>
      </c>
      <c r="DC27" s="14">
        <v>9900972256</v>
      </c>
      <c r="DD27" s="1" t="s">
        <v>304</v>
      </c>
      <c r="DE27" s="2">
        <v>44329</v>
      </c>
      <c r="DF27" s="1" t="s">
        <v>309</v>
      </c>
      <c r="DG27" s="1" t="s">
        <v>364</v>
      </c>
      <c r="DH27" s="1" t="s">
        <v>365</v>
      </c>
      <c r="DI27" t="str">
        <f t="shared" si="11"/>
        <v>John Taylor</v>
      </c>
    </row>
    <row r="28" spans="1:113" x14ac:dyDescent="0.25">
      <c r="A28" s="1" t="s">
        <v>158</v>
      </c>
      <c r="B28" s="2">
        <v>44956</v>
      </c>
      <c r="C28" s="4">
        <v>0.59375</v>
      </c>
      <c r="D28" s="1" t="s">
        <v>10</v>
      </c>
      <c r="E28" s="1" t="s">
        <v>11</v>
      </c>
      <c r="F28" s="1" t="s">
        <v>52</v>
      </c>
      <c r="G28" s="1" t="str">
        <f t="shared" si="0"/>
        <v>John Taylor</v>
      </c>
      <c r="H28" s="1" t="str">
        <f t="shared" si="1"/>
        <v>M</v>
      </c>
      <c r="I28" s="2">
        <f t="shared" si="2"/>
        <v>37953</v>
      </c>
      <c r="J28" s="24">
        <f t="shared" ca="1" si="3"/>
        <v>22</v>
      </c>
      <c r="K28" s="24" t="str">
        <f t="shared" ca="1" si="4"/>
        <v>19-30 Group</v>
      </c>
      <c r="L28" s="1" t="s">
        <v>59</v>
      </c>
      <c r="M28" s="1" t="str">
        <f t="shared" si="5"/>
        <v>David Taylor</v>
      </c>
      <c r="N28" s="1" t="str">
        <f t="shared" si="6"/>
        <v>Dermatology</v>
      </c>
      <c r="O28" s="24">
        <f t="shared" si="7"/>
        <v>17</v>
      </c>
      <c r="P28" s="14" t="str">
        <f t="shared" si="8"/>
        <v>Westside</v>
      </c>
      <c r="Q28" s="1" t="str">
        <f t="shared" si="9"/>
        <v>Clinic</v>
      </c>
      <c r="R28" s="17"/>
      <c r="S28" s="16"/>
      <c r="T28" s="16"/>
      <c r="U28" s="16"/>
      <c r="V28" s="31"/>
      <c r="CX28" s="1" t="s">
        <v>117</v>
      </c>
      <c r="CY28" s="1" t="s">
        <v>313</v>
      </c>
      <c r="CZ28" s="1" t="s">
        <v>348</v>
      </c>
      <c r="DA28" s="1" t="s">
        <v>286</v>
      </c>
      <c r="DB28" s="2">
        <v>35975</v>
      </c>
      <c r="DC28" s="14">
        <v>8724518272</v>
      </c>
      <c r="DD28" s="1" t="s">
        <v>293</v>
      </c>
      <c r="DE28" s="2">
        <v>44423</v>
      </c>
      <c r="DF28" s="1" t="s">
        <v>305</v>
      </c>
      <c r="DG28" s="1" t="s">
        <v>366</v>
      </c>
      <c r="DH28" s="1" t="s">
        <v>367</v>
      </c>
      <c r="DI28" t="str">
        <f t="shared" si="11"/>
        <v>Linda Moore</v>
      </c>
    </row>
    <row r="29" spans="1:113" x14ac:dyDescent="0.25">
      <c r="A29" s="1" t="s">
        <v>159</v>
      </c>
      <c r="B29" s="2">
        <v>45025</v>
      </c>
      <c r="C29" s="4">
        <v>0.39583333333333331</v>
      </c>
      <c r="D29" s="1" t="s">
        <v>38</v>
      </c>
      <c r="E29" s="1" t="s">
        <v>41</v>
      </c>
      <c r="F29" s="1" t="s">
        <v>8</v>
      </c>
      <c r="G29" s="1" t="str">
        <f t="shared" si="0"/>
        <v>Alex Smith</v>
      </c>
      <c r="H29" s="1" t="str">
        <f t="shared" si="1"/>
        <v>F</v>
      </c>
      <c r="I29" s="2">
        <f t="shared" si="2"/>
        <v>18289</v>
      </c>
      <c r="J29" s="24">
        <f t="shared" ca="1" si="3"/>
        <v>76</v>
      </c>
      <c r="K29" s="24" t="str">
        <f t="shared" ca="1" si="4"/>
        <v xml:space="preserve">60+ </v>
      </c>
      <c r="L29" s="1" t="s">
        <v>59</v>
      </c>
      <c r="M29" s="1" t="str">
        <f t="shared" si="5"/>
        <v>David Taylor</v>
      </c>
      <c r="N29" s="1" t="str">
        <f t="shared" si="6"/>
        <v>Dermatology</v>
      </c>
      <c r="O29" s="24">
        <f t="shared" si="7"/>
        <v>17</v>
      </c>
      <c r="P29" s="14" t="str">
        <f t="shared" si="8"/>
        <v>Westside</v>
      </c>
      <c r="Q29" s="1" t="str">
        <f t="shared" si="9"/>
        <v>Clinic</v>
      </c>
      <c r="R29" s="17"/>
      <c r="S29" s="16"/>
      <c r="T29" s="16"/>
      <c r="U29" s="16"/>
      <c r="V29" s="16"/>
      <c r="CX29" s="1" t="s">
        <v>63</v>
      </c>
      <c r="CY29" s="1" t="s">
        <v>316</v>
      </c>
      <c r="CZ29" s="1" t="s">
        <v>348</v>
      </c>
      <c r="DA29" s="1" t="s">
        <v>299</v>
      </c>
      <c r="DB29" s="2">
        <v>34072</v>
      </c>
      <c r="DC29" s="14">
        <v>7028910482</v>
      </c>
      <c r="DD29" s="1" t="s">
        <v>293</v>
      </c>
      <c r="DE29" s="2">
        <v>45066</v>
      </c>
      <c r="DF29" s="1" t="s">
        <v>309</v>
      </c>
      <c r="DG29" s="1" t="s">
        <v>368</v>
      </c>
      <c r="DH29" s="1" t="s">
        <v>369</v>
      </c>
      <c r="DI29" t="str">
        <f t="shared" si="11"/>
        <v>Alex Moore</v>
      </c>
    </row>
    <row r="30" spans="1:113" x14ac:dyDescent="0.25">
      <c r="A30" s="1" t="s">
        <v>165</v>
      </c>
      <c r="B30" s="2">
        <v>45052</v>
      </c>
      <c r="C30" s="4">
        <v>0.61458333333333337</v>
      </c>
      <c r="D30" s="1" t="s">
        <v>38</v>
      </c>
      <c r="E30" s="1" t="s">
        <v>15</v>
      </c>
      <c r="F30" s="1" t="s">
        <v>123</v>
      </c>
      <c r="G30" s="1" t="str">
        <f t="shared" si="0"/>
        <v>Laura Wilson</v>
      </c>
      <c r="H30" s="1" t="str">
        <f t="shared" si="1"/>
        <v>M</v>
      </c>
      <c r="I30" s="2">
        <f t="shared" si="2"/>
        <v>34330</v>
      </c>
      <c r="J30" s="24">
        <f t="shared" ca="1" si="3"/>
        <v>32</v>
      </c>
      <c r="K30" s="24" t="str">
        <f t="shared" ca="1" si="4"/>
        <v>31-45 Group</v>
      </c>
      <c r="L30" s="1" t="s">
        <v>59</v>
      </c>
      <c r="M30" s="1" t="str">
        <f t="shared" si="5"/>
        <v>David Taylor</v>
      </c>
      <c r="N30" s="1" t="str">
        <f t="shared" si="6"/>
        <v>Dermatology</v>
      </c>
      <c r="O30" s="24">
        <f t="shared" si="7"/>
        <v>17</v>
      </c>
      <c r="P30" s="14" t="str">
        <f t="shared" si="8"/>
        <v>Westside</v>
      </c>
      <c r="Q30" s="1" t="str">
        <f t="shared" si="9"/>
        <v>Clinic</v>
      </c>
      <c r="R30" s="17"/>
      <c r="S30" s="16"/>
      <c r="T30" s="16"/>
      <c r="U30" s="16"/>
      <c r="V30" s="16"/>
      <c r="CX30" s="1" t="s">
        <v>45</v>
      </c>
      <c r="CY30" s="1" t="s">
        <v>284</v>
      </c>
      <c r="CZ30" s="1" t="s">
        <v>292</v>
      </c>
      <c r="DA30" s="1" t="s">
        <v>299</v>
      </c>
      <c r="DB30" s="2">
        <v>38487</v>
      </c>
      <c r="DC30" s="14">
        <v>8923607677</v>
      </c>
      <c r="DD30" s="1" t="s">
        <v>287</v>
      </c>
      <c r="DE30" s="2">
        <v>45035</v>
      </c>
      <c r="DF30" s="1" t="s">
        <v>305</v>
      </c>
      <c r="DG30" s="1" t="s">
        <v>370</v>
      </c>
      <c r="DH30" s="1" t="s">
        <v>371</v>
      </c>
      <c r="DI30" t="str">
        <f t="shared" si="11"/>
        <v>David Smith</v>
      </c>
    </row>
    <row r="31" spans="1:113" x14ac:dyDescent="0.25">
      <c r="A31" s="1" t="s">
        <v>170</v>
      </c>
      <c r="B31" s="2">
        <v>45190</v>
      </c>
      <c r="C31" s="4">
        <v>0.55208333333333337</v>
      </c>
      <c r="D31" s="1" t="s">
        <v>10</v>
      </c>
      <c r="E31" s="1" t="s">
        <v>11</v>
      </c>
      <c r="F31" s="1" t="s">
        <v>84</v>
      </c>
      <c r="G31" s="1" t="str">
        <f t="shared" si="0"/>
        <v>Michael Wilson</v>
      </c>
      <c r="H31" s="1" t="str">
        <f t="shared" si="1"/>
        <v>M</v>
      </c>
      <c r="I31" s="2">
        <f t="shared" si="2"/>
        <v>35790</v>
      </c>
      <c r="J31" s="24">
        <f t="shared" ca="1" si="3"/>
        <v>28</v>
      </c>
      <c r="K31" s="24" t="str">
        <f t="shared" ca="1" si="4"/>
        <v>19-30 Group</v>
      </c>
      <c r="L31" s="1" t="s">
        <v>59</v>
      </c>
      <c r="M31" s="1" t="str">
        <f t="shared" si="5"/>
        <v>David Taylor</v>
      </c>
      <c r="N31" s="1" t="str">
        <f t="shared" si="6"/>
        <v>Dermatology</v>
      </c>
      <c r="O31" s="24">
        <f t="shared" si="7"/>
        <v>17</v>
      </c>
      <c r="P31" s="14" t="str">
        <f t="shared" si="8"/>
        <v>Westside</v>
      </c>
      <c r="Q31" s="1" t="str">
        <f t="shared" si="9"/>
        <v>Clinic</v>
      </c>
      <c r="R31" s="17"/>
      <c r="S31" s="16"/>
      <c r="T31" s="16"/>
      <c r="U31" s="16"/>
      <c r="V31" s="16"/>
      <c r="CX31" s="1" t="s">
        <v>70</v>
      </c>
      <c r="CY31" s="1" t="s">
        <v>291</v>
      </c>
      <c r="CZ31" s="1" t="s">
        <v>348</v>
      </c>
      <c r="DA31" s="1" t="s">
        <v>299</v>
      </c>
      <c r="DB31" s="2">
        <v>23734</v>
      </c>
      <c r="DC31" s="14">
        <v>6622318721</v>
      </c>
      <c r="DD31" s="1" t="s">
        <v>320</v>
      </c>
      <c r="DE31" s="2">
        <v>44415</v>
      </c>
      <c r="DF31" s="1" t="s">
        <v>294</v>
      </c>
      <c r="DG31" s="1" t="s">
        <v>372</v>
      </c>
      <c r="DH31" s="1" t="s">
        <v>373</v>
      </c>
      <c r="DI31" t="str">
        <f t="shared" si="11"/>
        <v>Emily Moore</v>
      </c>
    </row>
    <row r="32" spans="1:113" x14ac:dyDescent="0.25">
      <c r="A32" s="1" t="s">
        <v>184</v>
      </c>
      <c r="B32" s="2">
        <v>45146</v>
      </c>
      <c r="C32" s="4">
        <v>0.375</v>
      </c>
      <c r="D32" s="1" t="s">
        <v>10</v>
      </c>
      <c r="E32" s="1" t="s">
        <v>41</v>
      </c>
      <c r="F32" s="1" t="s">
        <v>185</v>
      </c>
      <c r="G32" s="1" t="str">
        <f t="shared" si="0"/>
        <v>Laura Wilson</v>
      </c>
      <c r="H32" s="1" t="str">
        <f t="shared" si="1"/>
        <v>M</v>
      </c>
      <c r="I32" s="2">
        <f t="shared" si="2"/>
        <v>29122</v>
      </c>
      <c r="J32" s="24">
        <f t="shared" ca="1" si="3"/>
        <v>46</v>
      </c>
      <c r="K32" s="24" t="str">
        <f t="shared" ca="1" si="4"/>
        <v>46-60 Group</v>
      </c>
      <c r="L32" s="1" t="s">
        <v>59</v>
      </c>
      <c r="M32" s="1" t="str">
        <f t="shared" si="5"/>
        <v>David Taylor</v>
      </c>
      <c r="N32" s="1" t="str">
        <f t="shared" si="6"/>
        <v>Dermatology</v>
      </c>
      <c r="O32" s="24">
        <f t="shared" si="7"/>
        <v>17</v>
      </c>
      <c r="P32" s="14" t="str">
        <f t="shared" si="8"/>
        <v>Westside</v>
      </c>
      <c r="Q32" s="1" t="str">
        <f t="shared" si="9"/>
        <v>Clinic</v>
      </c>
      <c r="R32" s="17"/>
      <c r="S32" s="16"/>
      <c r="T32" s="16"/>
      <c r="U32" s="16"/>
      <c r="V32" s="16"/>
      <c r="CX32" s="1" t="s">
        <v>97</v>
      </c>
      <c r="CY32" s="1" t="s">
        <v>361</v>
      </c>
      <c r="CZ32" s="1" t="s">
        <v>345</v>
      </c>
      <c r="DA32" s="1" t="s">
        <v>299</v>
      </c>
      <c r="DB32" s="2">
        <v>31791</v>
      </c>
      <c r="DC32" s="14">
        <v>8280346676</v>
      </c>
      <c r="DD32" s="1" t="s">
        <v>293</v>
      </c>
      <c r="DE32" s="2">
        <v>44740</v>
      </c>
      <c r="DF32" s="1" t="s">
        <v>288</v>
      </c>
      <c r="DG32" s="1" t="s">
        <v>374</v>
      </c>
      <c r="DH32" s="1" t="s">
        <v>375</v>
      </c>
      <c r="DI32" t="str">
        <f t="shared" si="11"/>
        <v>Robert Miller</v>
      </c>
    </row>
    <row r="33" spans="1:113" x14ac:dyDescent="0.25">
      <c r="A33" s="1" t="s">
        <v>188</v>
      </c>
      <c r="B33" s="2">
        <v>45097</v>
      </c>
      <c r="C33" s="4">
        <v>0.57291666666666663</v>
      </c>
      <c r="D33" s="1" t="s">
        <v>18</v>
      </c>
      <c r="E33" s="1" t="s">
        <v>15</v>
      </c>
      <c r="F33" s="1" t="s">
        <v>13</v>
      </c>
      <c r="G33" s="1" t="str">
        <f t="shared" si="0"/>
        <v>Alex Moore</v>
      </c>
      <c r="H33" s="1" t="str">
        <f t="shared" si="1"/>
        <v>M</v>
      </c>
      <c r="I33" s="2">
        <f t="shared" si="2"/>
        <v>29594</v>
      </c>
      <c r="J33" s="24">
        <f t="shared" ca="1" si="3"/>
        <v>45</v>
      </c>
      <c r="K33" s="24" t="str">
        <f t="shared" ca="1" si="4"/>
        <v>31-45 Group</v>
      </c>
      <c r="L33" s="1" t="s">
        <v>59</v>
      </c>
      <c r="M33" s="1" t="str">
        <f t="shared" si="5"/>
        <v>David Taylor</v>
      </c>
      <c r="N33" s="1" t="str">
        <f t="shared" si="6"/>
        <v>Dermatology</v>
      </c>
      <c r="O33" s="24">
        <f t="shared" si="7"/>
        <v>17</v>
      </c>
      <c r="P33" s="14" t="str">
        <f t="shared" si="8"/>
        <v>Westside</v>
      </c>
      <c r="Q33" s="1" t="str">
        <f t="shared" si="9"/>
        <v>Clinic</v>
      </c>
      <c r="R33" s="17"/>
      <c r="CX33" s="1" t="s">
        <v>13</v>
      </c>
      <c r="CY33" s="1" t="s">
        <v>316</v>
      </c>
      <c r="CZ33" s="1" t="s">
        <v>348</v>
      </c>
      <c r="DA33" s="1" t="s">
        <v>299</v>
      </c>
      <c r="DB33" s="2">
        <v>29594</v>
      </c>
      <c r="DC33" s="14">
        <v>8102183595</v>
      </c>
      <c r="DD33" s="1" t="s">
        <v>304</v>
      </c>
      <c r="DE33" s="2">
        <v>44471</v>
      </c>
      <c r="DF33" s="1" t="s">
        <v>309</v>
      </c>
      <c r="DG33" s="1" t="s">
        <v>376</v>
      </c>
      <c r="DH33" s="1" t="s">
        <v>369</v>
      </c>
      <c r="DI33" t="str">
        <f t="shared" si="11"/>
        <v>Alex Moore</v>
      </c>
    </row>
    <row r="34" spans="1:113" x14ac:dyDescent="0.25">
      <c r="A34" s="1" t="s">
        <v>191</v>
      </c>
      <c r="B34" s="2">
        <v>45268</v>
      </c>
      <c r="C34" s="4">
        <v>0.45833333333333331</v>
      </c>
      <c r="D34" s="1" t="s">
        <v>10</v>
      </c>
      <c r="E34" s="1" t="s">
        <v>15</v>
      </c>
      <c r="F34" s="1" t="s">
        <v>13</v>
      </c>
      <c r="G34" s="1" t="str">
        <f t="shared" ref="G34:G65" si="12">VLOOKUP(F34,$CX$1:$DI$51,12,FALSE)</f>
        <v>Alex Moore</v>
      </c>
      <c r="H34" s="1" t="str">
        <f t="shared" ref="H34:H65" si="13">VLOOKUP(F34,$CX$1:$DI$51,4,FALSE)</f>
        <v>M</v>
      </c>
      <c r="I34" s="2">
        <f t="shared" ref="I34:I65" si="14">VLOOKUP(F34,$CX$1:$DI$51,5,FALSE)</f>
        <v>29594</v>
      </c>
      <c r="J34" s="24">
        <f t="shared" ref="J34:J65" ca="1" si="15">DATEDIF(I34,TODAY(),"Y")</f>
        <v>45</v>
      </c>
      <c r="K34" s="24" t="str">
        <f t="shared" ref="K34:K65" ca="1" si="16">_xlfn.IFS(J34&lt;=18,"0-18 Group",J34&lt;=30,"19-30 Group",J34&lt;=45,"31-45 Group",J34&lt;=60,"46-60 Group",J34&gt;60,"60+ ")</f>
        <v>31-45 Group</v>
      </c>
      <c r="L34" s="1" t="s">
        <v>59</v>
      </c>
      <c r="M34" s="1" t="str">
        <f t="shared" ref="M34:M65" si="17">VLOOKUP(L34,$CL$1:$CU$11,10,FALSE)</f>
        <v>David Taylor</v>
      </c>
      <c r="N34" s="1" t="str">
        <f t="shared" ref="N34:N65" si="18">VLOOKUP(L34,$CL$1:$CU$11,4,FALSE)</f>
        <v>Dermatology</v>
      </c>
      <c r="O34" s="24">
        <f t="shared" ref="O34:O65" si="19">VLOOKUP(L34,$CL$1:$CU$11,6,FALSE)</f>
        <v>17</v>
      </c>
      <c r="P34" s="14" t="str">
        <f t="shared" ref="P34:P65" si="20">VLOOKUP(L34,$CL$1:$CU$11,7,FALSE)</f>
        <v>Westside</v>
      </c>
      <c r="Q34" s="1" t="str">
        <f t="shared" ref="Q34:Q65" si="21">VLOOKUP(L34,$CL$1:$CU$11,8,FALSE)</f>
        <v>Clinic</v>
      </c>
      <c r="R34" s="17"/>
      <c r="CX34" s="1" t="s">
        <v>86</v>
      </c>
      <c r="CY34" s="1" t="s">
        <v>302</v>
      </c>
      <c r="CZ34" s="1" t="s">
        <v>308</v>
      </c>
      <c r="DA34" s="1" t="s">
        <v>286</v>
      </c>
      <c r="DB34" s="2">
        <v>25605</v>
      </c>
      <c r="DC34" s="14">
        <v>7923214041</v>
      </c>
      <c r="DD34" s="1" t="s">
        <v>287</v>
      </c>
      <c r="DE34" s="2">
        <v>45175</v>
      </c>
      <c r="DF34" s="1" t="s">
        <v>309</v>
      </c>
      <c r="DG34" s="1" t="s">
        <v>377</v>
      </c>
      <c r="DH34" s="1" t="s">
        <v>352</v>
      </c>
      <c r="DI34" t="str">
        <f t="shared" si="11"/>
        <v>Michael Wilson</v>
      </c>
    </row>
    <row r="35" spans="1:113" x14ac:dyDescent="0.25">
      <c r="A35" s="1" t="s">
        <v>192</v>
      </c>
      <c r="B35" s="2">
        <v>45023</v>
      </c>
      <c r="C35" s="4">
        <v>0.625</v>
      </c>
      <c r="D35" s="1" t="s">
        <v>29</v>
      </c>
      <c r="E35" s="1" t="s">
        <v>41</v>
      </c>
      <c r="F35" s="1" t="s">
        <v>56</v>
      </c>
      <c r="G35" s="1" t="str">
        <f t="shared" si="12"/>
        <v>Robert Williams</v>
      </c>
      <c r="H35" s="1" t="str">
        <f t="shared" si="13"/>
        <v>M</v>
      </c>
      <c r="I35" s="2">
        <f t="shared" si="14"/>
        <v>36196</v>
      </c>
      <c r="J35" s="24">
        <f t="shared" ca="1" si="15"/>
        <v>27</v>
      </c>
      <c r="K35" s="24" t="str">
        <f t="shared" ca="1" si="16"/>
        <v>19-30 Group</v>
      </c>
      <c r="L35" s="1" t="s">
        <v>59</v>
      </c>
      <c r="M35" s="1" t="str">
        <f t="shared" si="17"/>
        <v>David Taylor</v>
      </c>
      <c r="N35" s="1" t="str">
        <f t="shared" si="18"/>
        <v>Dermatology</v>
      </c>
      <c r="O35" s="24">
        <f t="shared" si="19"/>
        <v>17</v>
      </c>
      <c r="P35" s="14" t="str">
        <f t="shared" si="20"/>
        <v>Westside</v>
      </c>
      <c r="Q35" s="1" t="str">
        <f t="shared" si="21"/>
        <v>Clinic</v>
      </c>
      <c r="R35" s="17"/>
      <c r="CX35" s="1" t="s">
        <v>8</v>
      </c>
      <c r="CY35" s="1" t="s">
        <v>316</v>
      </c>
      <c r="CZ35" s="1" t="s">
        <v>292</v>
      </c>
      <c r="DA35" s="1" t="s">
        <v>286</v>
      </c>
      <c r="DB35" s="2">
        <v>18289</v>
      </c>
      <c r="DC35" s="14">
        <v>8374657733</v>
      </c>
      <c r="DD35" s="1" t="s">
        <v>293</v>
      </c>
      <c r="DE35" s="2">
        <v>45095</v>
      </c>
      <c r="DF35" s="1" t="s">
        <v>288</v>
      </c>
      <c r="DG35" s="1" t="s">
        <v>378</v>
      </c>
      <c r="DH35" s="1" t="s">
        <v>379</v>
      </c>
      <c r="DI35" t="str">
        <f t="shared" si="11"/>
        <v>Alex Smith</v>
      </c>
    </row>
    <row r="36" spans="1:113" x14ac:dyDescent="0.25">
      <c r="A36" s="1" t="s">
        <v>204</v>
      </c>
      <c r="B36" s="2">
        <v>45008</v>
      </c>
      <c r="C36" s="4">
        <v>0.60416666666666663</v>
      </c>
      <c r="D36" s="1" t="s">
        <v>29</v>
      </c>
      <c r="E36" s="1" t="s">
        <v>41</v>
      </c>
      <c r="F36" s="1" t="s">
        <v>17</v>
      </c>
      <c r="G36" s="1" t="str">
        <f t="shared" si="12"/>
        <v>Emily Miller</v>
      </c>
      <c r="H36" s="1" t="str">
        <f t="shared" si="13"/>
        <v>M</v>
      </c>
      <c r="I36" s="2">
        <f t="shared" si="14"/>
        <v>30399</v>
      </c>
      <c r="J36" s="24">
        <f t="shared" ca="1" si="15"/>
        <v>43</v>
      </c>
      <c r="K36" s="24" t="str">
        <f t="shared" ca="1" si="16"/>
        <v>31-45 Group</v>
      </c>
      <c r="L36" s="1" t="s">
        <v>59</v>
      </c>
      <c r="M36" s="1" t="str">
        <f t="shared" si="17"/>
        <v>David Taylor</v>
      </c>
      <c r="N36" s="1" t="str">
        <f t="shared" si="18"/>
        <v>Dermatology</v>
      </c>
      <c r="O36" s="24">
        <f t="shared" si="19"/>
        <v>17</v>
      </c>
      <c r="P36" s="14" t="str">
        <f t="shared" si="20"/>
        <v>Westside</v>
      </c>
      <c r="Q36" s="1" t="str">
        <f t="shared" si="21"/>
        <v>Clinic</v>
      </c>
      <c r="R36" s="17"/>
      <c r="CX36" s="1" t="s">
        <v>125</v>
      </c>
      <c r="CY36" s="1" t="s">
        <v>284</v>
      </c>
      <c r="CZ36" s="1" t="s">
        <v>308</v>
      </c>
      <c r="DA36" s="1" t="s">
        <v>286</v>
      </c>
      <c r="DB36" s="2">
        <v>34072</v>
      </c>
      <c r="DC36" s="14">
        <v>7039619487</v>
      </c>
      <c r="DD36" s="1" t="s">
        <v>304</v>
      </c>
      <c r="DE36" s="2">
        <v>45116</v>
      </c>
      <c r="DF36" s="1" t="s">
        <v>309</v>
      </c>
      <c r="DG36" s="1" t="s">
        <v>380</v>
      </c>
      <c r="DH36" s="1" t="s">
        <v>311</v>
      </c>
      <c r="DI36" t="str">
        <f t="shared" si="11"/>
        <v>David Wilson</v>
      </c>
    </row>
    <row r="37" spans="1:113" x14ac:dyDescent="0.25">
      <c r="A37" s="1" t="s">
        <v>208</v>
      </c>
      <c r="B37" s="2">
        <v>45224</v>
      </c>
      <c r="C37" s="4">
        <v>0.41666666666666669</v>
      </c>
      <c r="D37" s="1" t="s">
        <v>26</v>
      </c>
      <c r="E37" s="1" t="s">
        <v>15</v>
      </c>
      <c r="F37" s="1" t="s">
        <v>100</v>
      </c>
      <c r="G37" s="1" t="str">
        <f t="shared" si="12"/>
        <v>Sarah Miller</v>
      </c>
      <c r="H37" s="1" t="str">
        <f t="shared" si="13"/>
        <v>M</v>
      </c>
      <c r="I37" s="2">
        <f t="shared" si="14"/>
        <v>27538</v>
      </c>
      <c r="J37" s="24">
        <f t="shared" ca="1" si="15"/>
        <v>51</v>
      </c>
      <c r="K37" s="24" t="str">
        <f t="shared" ca="1" si="16"/>
        <v>46-60 Group</v>
      </c>
      <c r="L37" s="1" t="s">
        <v>59</v>
      </c>
      <c r="M37" s="1" t="str">
        <f t="shared" si="17"/>
        <v>David Taylor</v>
      </c>
      <c r="N37" s="1" t="str">
        <f t="shared" si="18"/>
        <v>Dermatology</v>
      </c>
      <c r="O37" s="24">
        <f t="shared" si="19"/>
        <v>17</v>
      </c>
      <c r="P37" s="14" t="str">
        <f t="shared" si="20"/>
        <v>Westside</v>
      </c>
      <c r="Q37" s="1" t="str">
        <f t="shared" si="21"/>
        <v>Clinic</v>
      </c>
      <c r="R37" s="17"/>
      <c r="CX37" s="1" t="s">
        <v>84</v>
      </c>
      <c r="CY37" s="1" t="s">
        <v>302</v>
      </c>
      <c r="CZ37" s="1" t="s">
        <v>308</v>
      </c>
      <c r="DA37" s="1" t="s">
        <v>299</v>
      </c>
      <c r="DB37" s="2">
        <v>35790</v>
      </c>
      <c r="DC37" s="14">
        <v>8545613046</v>
      </c>
      <c r="DD37" s="1" t="s">
        <v>304</v>
      </c>
      <c r="DE37" s="2">
        <v>44838</v>
      </c>
      <c r="DF37" s="1" t="s">
        <v>309</v>
      </c>
      <c r="DG37" s="1" t="s">
        <v>381</v>
      </c>
      <c r="DH37" s="1" t="s">
        <v>352</v>
      </c>
      <c r="DI37" t="str">
        <f t="shared" si="11"/>
        <v>Michael Wilson</v>
      </c>
    </row>
    <row r="38" spans="1:113" x14ac:dyDescent="0.25">
      <c r="A38" s="1" t="s">
        <v>226</v>
      </c>
      <c r="B38" s="2">
        <v>44929</v>
      </c>
      <c r="C38" s="4">
        <v>0.39583333333333331</v>
      </c>
      <c r="D38" s="1" t="s">
        <v>18</v>
      </c>
      <c r="E38" s="1" t="s">
        <v>19</v>
      </c>
      <c r="F38" s="1" t="s">
        <v>21</v>
      </c>
      <c r="G38" s="1" t="str">
        <f t="shared" si="12"/>
        <v>Robert Wilson</v>
      </c>
      <c r="H38" s="1" t="str">
        <f t="shared" si="13"/>
        <v>M</v>
      </c>
      <c r="I38" s="2">
        <f t="shared" si="14"/>
        <v>24333</v>
      </c>
      <c r="J38" s="24">
        <f t="shared" ca="1" si="15"/>
        <v>60</v>
      </c>
      <c r="K38" s="24" t="str">
        <f t="shared" ca="1" si="16"/>
        <v>46-60 Group</v>
      </c>
      <c r="L38" s="1" t="s">
        <v>59</v>
      </c>
      <c r="M38" s="1" t="str">
        <f t="shared" si="17"/>
        <v>David Taylor</v>
      </c>
      <c r="N38" s="1" t="str">
        <f t="shared" si="18"/>
        <v>Dermatology</v>
      </c>
      <c r="O38" s="24">
        <f t="shared" si="19"/>
        <v>17</v>
      </c>
      <c r="P38" s="14" t="str">
        <f t="shared" si="20"/>
        <v>Westside</v>
      </c>
      <c r="Q38" s="1" t="str">
        <f t="shared" si="21"/>
        <v>Clinic</v>
      </c>
      <c r="R38" s="17"/>
      <c r="CX38" s="1" t="s">
        <v>56</v>
      </c>
      <c r="CY38" s="1" t="s">
        <v>361</v>
      </c>
      <c r="CZ38" s="1" t="s">
        <v>285</v>
      </c>
      <c r="DA38" s="1" t="s">
        <v>299</v>
      </c>
      <c r="DB38" s="2">
        <v>36196</v>
      </c>
      <c r="DC38" s="14">
        <v>8886800195</v>
      </c>
      <c r="DD38" s="1" t="s">
        <v>320</v>
      </c>
      <c r="DE38" s="2">
        <v>44469</v>
      </c>
      <c r="DF38" s="1" t="s">
        <v>305</v>
      </c>
      <c r="DG38" s="1" t="s">
        <v>382</v>
      </c>
      <c r="DH38" s="1" t="s">
        <v>383</v>
      </c>
      <c r="DI38" t="str">
        <f t="shared" si="11"/>
        <v>Robert Williams</v>
      </c>
    </row>
    <row r="39" spans="1:113" x14ac:dyDescent="0.25">
      <c r="A39" s="1" t="s">
        <v>231</v>
      </c>
      <c r="B39" s="2">
        <v>45277</v>
      </c>
      <c r="C39" s="4">
        <v>0.53125</v>
      </c>
      <c r="D39" s="1" t="s">
        <v>26</v>
      </c>
      <c r="E39" s="1" t="s">
        <v>19</v>
      </c>
      <c r="F39" s="1" t="s">
        <v>37</v>
      </c>
      <c r="G39" s="1" t="str">
        <f t="shared" si="12"/>
        <v>Jane Wilson</v>
      </c>
      <c r="H39" s="1" t="str">
        <f t="shared" si="13"/>
        <v>F</v>
      </c>
      <c r="I39" s="2">
        <f t="shared" si="14"/>
        <v>18609</v>
      </c>
      <c r="J39" s="24">
        <f t="shared" ca="1" si="15"/>
        <v>75</v>
      </c>
      <c r="K39" s="24" t="str">
        <f t="shared" ca="1" si="16"/>
        <v xml:space="preserve">60+ </v>
      </c>
      <c r="L39" s="1" t="s">
        <v>59</v>
      </c>
      <c r="M39" s="1" t="str">
        <f t="shared" si="17"/>
        <v>David Taylor</v>
      </c>
      <c r="N39" s="1" t="str">
        <f t="shared" si="18"/>
        <v>Dermatology</v>
      </c>
      <c r="O39" s="24">
        <f t="shared" si="19"/>
        <v>17</v>
      </c>
      <c r="P39" s="14" t="str">
        <f t="shared" si="20"/>
        <v>Westside</v>
      </c>
      <c r="Q39" s="1" t="str">
        <f t="shared" si="21"/>
        <v>Clinic</v>
      </c>
      <c r="R39" s="17"/>
      <c r="CX39" s="1" t="s">
        <v>252</v>
      </c>
      <c r="CY39" s="1" t="s">
        <v>284</v>
      </c>
      <c r="CZ39" s="1" t="s">
        <v>292</v>
      </c>
      <c r="DA39" s="1" t="s">
        <v>299</v>
      </c>
      <c r="DB39" s="2">
        <v>33414</v>
      </c>
      <c r="DC39" s="14">
        <v>6347262390</v>
      </c>
      <c r="DD39" s="1" t="s">
        <v>287</v>
      </c>
      <c r="DE39" s="2">
        <v>44305</v>
      </c>
      <c r="DF39" s="1" t="s">
        <v>309</v>
      </c>
      <c r="DG39" s="1" t="s">
        <v>384</v>
      </c>
      <c r="DH39" s="1" t="s">
        <v>371</v>
      </c>
      <c r="DI39" t="str">
        <f t="shared" si="11"/>
        <v>David Smith</v>
      </c>
    </row>
    <row r="40" spans="1:113" x14ac:dyDescent="0.25">
      <c r="A40" s="1" t="s">
        <v>237</v>
      </c>
      <c r="B40" s="2">
        <v>45020</v>
      </c>
      <c r="C40" s="4">
        <v>0.64583333333333337</v>
      </c>
      <c r="D40" s="1" t="s">
        <v>18</v>
      </c>
      <c r="E40" s="1" t="s">
        <v>19</v>
      </c>
      <c r="F40" s="1" t="s">
        <v>97</v>
      </c>
      <c r="G40" s="1" t="str">
        <f t="shared" si="12"/>
        <v>Robert Miller</v>
      </c>
      <c r="H40" s="1" t="str">
        <f t="shared" si="13"/>
        <v>M</v>
      </c>
      <c r="I40" s="2">
        <f t="shared" si="14"/>
        <v>31791</v>
      </c>
      <c r="J40" s="24">
        <f t="shared" ca="1" si="15"/>
        <v>39</v>
      </c>
      <c r="K40" s="24" t="str">
        <f t="shared" ca="1" si="16"/>
        <v>31-45 Group</v>
      </c>
      <c r="L40" s="1" t="s">
        <v>59</v>
      </c>
      <c r="M40" s="1" t="str">
        <f t="shared" si="17"/>
        <v>David Taylor</v>
      </c>
      <c r="N40" s="1" t="str">
        <f t="shared" si="18"/>
        <v>Dermatology</v>
      </c>
      <c r="O40" s="24">
        <f t="shared" si="19"/>
        <v>17</v>
      </c>
      <c r="P40" s="14" t="str">
        <f t="shared" si="20"/>
        <v>Westside</v>
      </c>
      <c r="Q40" s="1" t="str">
        <f t="shared" si="21"/>
        <v>Clinic</v>
      </c>
      <c r="R40" s="17"/>
      <c r="CX40" s="1" t="s">
        <v>37</v>
      </c>
      <c r="CY40" s="1" t="s">
        <v>340</v>
      </c>
      <c r="CZ40" s="1" t="s">
        <v>308</v>
      </c>
      <c r="DA40" s="1" t="s">
        <v>286</v>
      </c>
      <c r="DB40" s="2">
        <v>18609</v>
      </c>
      <c r="DC40" s="14">
        <v>9271131338</v>
      </c>
      <c r="DD40" s="1" t="s">
        <v>287</v>
      </c>
      <c r="DE40" s="2">
        <v>44264</v>
      </c>
      <c r="DF40" s="1" t="s">
        <v>294</v>
      </c>
      <c r="DG40" s="1" t="s">
        <v>385</v>
      </c>
      <c r="DH40" s="1" t="s">
        <v>386</v>
      </c>
      <c r="DI40" t="str">
        <f t="shared" si="11"/>
        <v>Jane Wilson</v>
      </c>
    </row>
    <row r="41" spans="1:113" x14ac:dyDescent="0.25">
      <c r="A41" s="1" t="s">
        <v>239</v>
      </c>
      <c r="B41" s="2">
        <v>45245</v>
      </c>
      <c r="C41" s="4">
        <v>0.34375</v>
      </c>
      <c r="D41" s="1" t="s">
        <v>38</v>
      </c>
      <c r="E41" s="1" t="s">
        <v>11</v>
      </c>
      <c r="F41" s="1" t="s">
        <v>125</v>
      </c>
      <c r="G41" s="1" t="str">
        <f t="shared" si="12"/>
        <v>David Wilson</v>
      </c>
      <c r="H41" s="1" t="str">
        <f t="shared" si="13"/>
        <v>F</v>
      </c>
      <c r="I41" s="2">
        <f t="shared" si="14"/>
        <v>34072</v>
      </c>
      <c r="J41" s="24">
        <f t="shared" ca="1" si="15"/>
        <v>33</v>
      </c>
      <c r="K41" s="24" t="str">
        <f t="shared" ca="1" si="16"/>
        <v>31-45 Group</v>
      </c>
      <c r="L41" s="1" t="s">
        <v>59</v>
      </c>
      <c r="M41" s="1" t="str">
        <f t="shared" si="17"/>
        <v>David Taylor</v>
      </c>
      <c r="N41" s="1" t="str">
        <f t="shared" si="18"/>
        <v>Dermatology</v>
      </c>
      <c r="O41" s="24">
        <f t="shared" si="19"/>
        <v>17</v>
      </c>
      <c r="P41" s="14" t="str">
        <f t="shared" si="20"/>
        <v>Westside</v>
      </c>
      <c r="Q41" s="1" t="str">
        <f t="shared" si="21"/>
        <v>Clinic</v>
      </c>
      <c r="R41" s="17"/>
      <c r="CX41" s="1" t="s">
        <v>24</v>
      </c>
      <c r="CY41" s="1" t="s">
        <v>291</v>
      </c>
      <c r="CZ41" s="1" t="s">
        <v>285</v>
      </c>
      <c r="DA41" s="1" t="s">
        <v>299</v>
      </c>
      <c r="DB41" s="2">
        <v>26449</v>
      </c>
      <c r="DC41" s="14">
        <v>7587653815</v>
      </c>
      <c r="DD41" s="1" t="s">
        <v>320</v>
      </c>
      <c r="DE41" s="2">
        <v>44485</v>
      </c>
      <c r="DF41" s="1" t="s">
        <v>294</v>
      </c>
      <c r="DG41" s="1" t="s">
        <v>387</v>
      </c>
      <c r="DH41" s="1" t="s">
        <v>388</v>
      </c>
      <c r="DI41" t="str">
        <f t="shared" si="11"/>
        <v>Emily Williams</v>
      </c>
    </row>
    <row r="42" spans="1:113" x14ac:dyDescent="0.25">
      <c r="A42" s="1" t="s">
        <v>272</v>
      </c>
      <c r="B42" s="2">
        <v>45047</v>
      </c>
      <c r="C42" s="4">
        <v>0.53125</v>
      </c>
      <c r="D42" s="1" t="s">
        <v>38</v>
      </c>
      <c r="E42" s="1" t="s">
        <v>41</v>
      </c>
      <c r="F42" s="1" t="s">
        <v>151</v>
      </c>
      <c r="G42" s="1" t="str">
        <f t="shared" si="12"/>
        <v>Jane Jones</v>
      </c>
      <c r="H42" s="1" t="str">
        <f t="shared" si="13"/>
        <v>M</v>
      </c>
      <c r="I42" s="2">
        <f t="shared" si="14"/>
        <v>33359</v>
      </c>
      <c r="J42" s="24">
        <f t="shared" ca="1" si="15"/>
        <v>35</v>
      </c>
      <c r="K42" s="24" t="str">
        <f t="shared" ca="1" si="16"/>
        <v>31-45 Group</v>
      </c>
      <c r="L42" s="1" t="s">
        <v>59</v>
      </c>
      <c r="M42" s="1" t="str">
        <f t="shared" si="17"/>
        <v>David Taylor</v>
      </c>
      <c r="N42" s="1" t="str">
        <f t="shared" si="18"/>
        <v>Dermatology</v>
      </c>
      <c r="O42" s="24">
        <f t="shared" si="19"/>
        <v>17</v>
      </c>
      <c r="P42" s="14" t="str">
        <f t="shared" si="20"/>
        <v>Westside</v>
      </c>
      <c r="Q42" s="1" t="str">
        <f t="shared" si="21"/>
        <v>Clinic</v>
      </c>
      <c r="R42" s="17"/>
      <c r="CX42" s="1" t="s">
        <v>161</v>
      </c>
      <c r="CY42" s="1" t="s">
        <v>361</v>
      </c>
      <c r="CZ42" s="1" t="s">
        <v>285</v>
      </c>
      <c r="DA42" s="1" t="s">
        <v>299</v>
      </c>
      <c r="DB42" s="2">
        <v>18798</v>
      </c>
      <c r="DC42" s="14">
        <v>7020645498</v>
      </c>
      <c r="DD42" s="1" t="s">
        <v>320</v>
      </c>
      <c r="DE42" s="2">
        <v>44758</v>
      </c>
      <c r="DF42" s="1" t="s">
        <v>288</v>
      </c>
      <c r="DG42" s="1" t="s">
        <v>389</v>
      </c>
      <c r="DH42" s="1" t="s">
        <v>383</v>
      </c>
      <c r="DI42" t="str">
        <f t="shared" si="11"/>
        <v>Robert Williams</v>
      </c>
    </row>
    <row r="43" spans="1:113" x14ac:dyDescent="0.25">
      <c r="A43" s="1" t="s">
        <v>23</v>
      </c>
      <c r="B43" s="2">
        <v>45113</v>
      </c>
      <c r="C43" s="4">
        <v>0.53125</v>
      </c>
      <c r="D43" s="1" t="s">
        <v>26</v>
      </c>
      <c r="E43" s="1" t="s">
        <v>15</v>
      </c>
      <c r="F43" s="1" t="s">
        <v>24</v>
      </c>
      <c r="G43" s="1" t="str">
        <f t="shared" si="12"/>
        <v>Emily Williams</v>
      </c>
      <c r="H43" s="1" t="str">
        <f t="shared" si="13"/>
        <v>M</v>
      </c>
      <c r="I43" s="2">
        <f t="shared" si="14"/>
        <v>26449</v>
      </c>
      <c r="J43" s="24">
        <f t="shared" ca="1" si="15"/>
        <v>54</v>
      </c>
      <c r="K43" s="24" t="str">
        <f t="shared" ca="1" si="16"/>
        <v>46-60 Group</v>
      </c>
      <c r="L43" s="1" t="s">
        <v>25</v>
      </c>
      <c r="M43" s="1" t="str">
        <f t="shared" si="17"/>
        <v>Jane Smith</v>
      </c>
      <c r="N43" s="1" t="str">
        <f t="shared" si="18"/>
        <v>Pediatrics</v>
      </c>
      <c r="O43" s="24">
        <f t="shared" si="19"/>
        <v>19</v>
      </c>
      <c r="P43" s="14" t="str">
        <f t="shared" si="20"/>
        <v>Eastside</v>
      </c>
      <c r="Q43" s="1" t="str">
        <f t="shared" si="21"/>
        <v>Clinic</v>
      </c>
      <c r="R43" s="17"/>
      <c r="CX43" s="1" t="s">
        <v>234</v>
      </c>
      <c r="CY43" s="1" t="s">
        <v>340</v>
      </c>
      <c r="CZ43" s="1" t="s">
        <v>292</v>
      </c>
      <c r="DA43" s="1" t="s">
        <v>286</v>
      </c>
      <c r="DB43" s="2">
        <v>19958</v>
      </c>
      <c r="DC43" s="14">
        <v>7040069008</v>
      </c>
      <c r="DD43" s="1" t="s">
        <v>287</v>
      </c>
      <c r="DE43" s="2">
        <v>44635</v>
      </c>
      <c r="DF43" s="1" t="s">
        <v>309</v>
      </c>
      <c r="DG43" s="1" t="s">
        <v>390</v>
      </c>
      <c r="DH43" s="1" t="s">
        <v>391</v>
      </c>
      <c r="DI43" t="str">
        <f t="shared" si="11"/>
        <v>Jane Smith</v>
      </c>
    </row>
    <row r="44" spans="1:113" x14ac:dyDescent="0.25">
      <c r="A44" s="1" t="s">
        <v>39</v>
      </c>
      <c r="B44" s="2">
        <v>44939</v>
      </c>
      <c r="C44" s="4">
        <v>0.64583333333333337</v>
      </c>
      <c r="D44" s="1" t="s">
        <v>10</v>
      </c>
      <c r="E44" s="1" t="s">
        <v>41</v>
      </c>
      <c r="F44" s="1" t="s">
        <v>40</v>
      </c>
      <c r="G44" s="1" t="str">
        <f t="shared" si="12"/>
        <v>David Wilson</v>
      </c>
      <c r="H44" s="1" t="str">
        <f t="shared" si="13"/>
        <v>M</v>
      </c>
      <c r="I44" s="2">
        <f t="shared" si="14"/>
        <v>22090</v>
      </c>
      <c r="J44" s="24">
        <f t="shared" ca="1" si="15"/>
        <v>66</v>
      </c>
      <c r="K44" s="24" t="str">
        <f t="shared" ca="1" si="16"/>
        <v xml:space="preserve">60+ </v>
      </c>
      <c r="L44" s="1" t="s">
        <v>25</v>
      </c>
      <c r="M44" s="1" t="str">
        <f t="shared" si="17"/>
        <v>Jane Smith</v>
      </c>
      <c r="N44" s="1" t="str">
        <f t="shared" si="18"/>
        <v>Pediatrics</v>
      </c>
      <c r="O44" s="24">
        <f t="shared" si="19"/>
        <v>19</v>
      </c>
      <c r="P44" s="14" t="str">
        <f t="shared" si="20"/>
        <v>Eastside</v>
      </c>
      <c r="Q44" s="1" t="str">
        <f t="shared" si="21"/>
        <v>Clinic</v>
      </c>
      <c r="R44" s="17"/>
      <c r="CX44" s="1" t="s">
        <v>129</v>
      </c>
      <c r="CY44" s="1" t="s">
        <v>313</v>
      </c>
      <c r="CZ44" s="1" t="s">
        <v>354</v>
      </c>
      <c r="DA44" s="1" t="s">
        <v>299</v>
      </c>
      <c r="DB44" s="2">
        <v>29305</v>
      </c>
      <c r="DC44" s="14">
        <v>9127665406</v>
      </c>
      <c r="DD44" s="1" t="s">
        <v>287</v>
      </c>
      <c r="DE44" s="2">
        <v>44760</v>
      </c>
      <c r="DF44" s="1" t="s">
        <v>288</v>
      </c>
      <c r="DG44" s="1" t="s">
        <v>392</v>
      </c>
      <c r="DH44" s="1" t="s">
        <v>393</v>
      </c>
      <c r="DI44" t="str">
        <f t="shared" si="11"/>
        <v>Linda Brown</v>
      </c>
    </row>
    <row r="45" spans="1:113" x14ac:dyDescent="0.25">
      <c r="A45" s="1" t="s">
        <v>44</v>
      </c>
      <c r="B45" s="2">
        <v>45053</v>
      </c>
      <c r="C45" s="4">
        <v>0.41666666666666669</v>
      </c>
      <c r="D45" s="1" t="s">
        <v>38</v>
      </c>
      <c r="E45" s="1" t="s">
        <v>41</v>
      </c>
      <c r="F45" s="1" t="s">
        <v>45</v>
      </c>
      <c r="G45" s="1" t="str">
        <f t="shared" si="12"/>
        <v>David Smith</v>
      </c>
      <c r="H45" s="1" t="str">
        <f t="shared" si="13"/>
        <v>M</v>
      </c>
      <c r="I45" s="2">
        <f t="shared" si="14"/>
        <v>38487</v>
      </c>
      <c r="J45" s="24">
        <f t="shared" ca="1" si="15"/>
        <v>21</v>
      </c>
      <c r="K45" s="24" t="str">
        <f t="shared" ca="1" si="16"/>
        <v>19-30 Group</v>
      </c>
      <c r="L45" s="1" t="s">
        <v>25</v>
      </c>
      <c r="M45" s="1" t="str">
        <f t="shared" si="17"/>
        <v>Jane Smith</v>
      </c>
      <c r="N45" s="1" t="str">
        <f t="shared" si="18"/>
        <v>Pediatrics</v>
      </c>
      <c r="O45" s="24">
        <f t="shared" si="19"/>
        <v>19</v>
      </c>
      <c r="P45" s="14" t="str">
        <f t="shared" si="20"/>
        <v>Eastside</v>
      </c>
      <c r="Q45" s="1" t="str">
        <f t="shared" si="21"/>
        <v>Clinic</v>
      </c>
      <c r="R45" s="17"/>
      <c r="CX45" s="1" t="s">
        <v>139</v>
      </c>
      <c r="CY45" s="1" t="s">
        <v>361</v>
      </c>
      <c r="CZ45" s="1" t="s">
        <v>325</v>
      </c>
      <c r="DA45" s="1" t="s">
        <v>286</v>
      </c>
      <c r="DB45" s="2">
        <v>27830</v>
      </c>
      <c r="DC45" s="14">
        <v>9449458981</v>
      </c>
      <c r="DD45" s="1" t="s">
        <v>293</v>
      </c>
      <c r="DE45" s="2">
        <v>44952</v>
      </c>
      <c r="DF45" s="1" t="s">
        <v>294</v>
      </c>
      <c r="DG45" s="1" t="s">
        <v>394</v>
      </c>
      <c r="DH45" s="1" t="s">
        <v>395</v>
      </c>
      <c r="DI45" t="str">
        <f t="shared" si="11"/>
        <v>Robert Taylor</v>
      </c>
    </row>
    <row r="46" spans="1:113" x14ac:dyDescent="0.25">
      <c r="A46" s="1" t="s">
        <v>60</v>
      </c>
      <c r="B46" s="2">
        <v>45265</v>
      </c>
      <c r="C46" s="4">
        <v>0.63541666666666663</v>
      </c>
      <c r="D46" s="1" t="s">
        <v>18</v>
      </c>
      <c r="E46" s="1" t="s">
        <v>41</v>
      </c>
      <c r="F46" s="1" t="s">
        <v>61</v>
      </c>
      <c r="G46" s="1" t="str">
        <f t="shared" si="12"/>
        <v>Alex Taylor</v>
      </c>
      <c r="H46" s="1" t="str">
        <f t="shared" si="13"/>
        <v>M</v>
      </c>
      <c r="I46" s="2">
        <f t="shared" si="14"/>
        <v>24895</v>
      </c>
      <c r="J46" s="24">
        <f t="shared" ca="1" si="15"/>
        <v>58</v>
      </c>
      <c r="K46" s="24" t="str">
        <f t="shared" ca="1" si="16"/>
        <v>46-60 Group</v>
      </c>
      <c r="L46" s="1" t="s">
        <v>25</v>
      </c>
      <c r="M46" s="1" t="str">
        <f t="shared" si="17"/>
        <v>Jane Smith</v>
      </c>
      <c r="N46" s="1" t="str">
        <f t="shared" si="18"/>
        <v>Pediatrics</v>
      </c>
      <c r="O46" s="24">
        <f t="shared" si="19"/>
        <v>19</v>
      </c>
      <c r="P46" s="14" t="str">
        <f t="shared" si="20"/>
        <v>Eastside</v>
      </c>
      <c r="Q46" s="1" t="str">
        <f t="shared" si="21"/>
        <v>Clinic</v>
      </c>
      <c r="R46" s="17"/>
      <c r="CX46" s="1" t="s">
        <v>28</v>
      </c>
      <c r="CY46" s="1" t="s">
        <v>313</v>
      </c>
      <c r="CZ46" s="1" t="s">
        <v>345</v>
      </c>
      <c r="DA46" s="1" t="s">
        <v>286</v>
      </c>
      <c r="DB46" s="2">
        <v>24222</v>
      </c>
      <c r="DC46" s="14">
        <v>7579616535</v>
      </c>
      <c r="DD46" s="1" t="s">
        <v>293</v>
      </c>
      <c r="DE46" s="2">
        <v>44219</v>
      </c>
      <c r="DF46" s="1" t="s">
        <v>309</v>
      </c>
      <c r="DG46" s="1" t="s">
        <v>396</v>
      </c>
      <c r="DH46" s="1" t="s">
        <v>397</v>
      </c>
      <c r="DI46" t="str">
        <f t="shared" si="11"/>
        <v>Linda Miller</v>
      </c>
    </row>
    <row r="47" spans="1:113" x14ac:dyDescent="0.25">
      <c r="A47" s="1" t="s">
        <v>83</v>
      </c>
      <c r="B47" s="2">
        <v>45034</v>
      </c>
      <c r="C47" s="4">
        <v>0.36458333333333331</v>
      </c>
      <c r="D47" s="1" t="s">
        <v>38</v>
      </c>
      <c r="E47" s="1" t="s">
        <v>11</v>
      </c>
      <c r="F47" s="1" t="s">
        <v>84</v>
      </c>
      <c r="G47" s="1" t="str">
        <f t="shared" si="12"/>
        <v>Michael Wilson</v>
      </c>
      <c r="H47" s="1" t="str">
        <f t="shared" si="13"/>
        <v>M</v>
      </c>
      <c r="I47" s="2">
        <f t="shared" si="14"/>
        <v>35790</v>
      </c>
      <c r="J47" s="24">
        <f t="shared" ca="1" si="15"/>
        <v>28</v>
      </c>
      <c r="K47" s="24" t="str">
        <f t="shared" ca="1" si="16"/>
        <v>19-30 Group</v>
      </c>
      <c r="L47" s="1" t="s">
        <v>25</v>
      </c>
      <c r="M47" s="1" t="str">
        <f t="shared" si="17"/>
        <v>Jane Smith</v>
      </c>
      <c r="N47" s="1" t="str">
        <f t="shared" si="18"/>
        <v>Pediatrics</v>
      </c>
      <c r="O47" s="24">
        <f t="shared" si="19"/>
        <v>19</v>
      </c>
      <c r="P47" s="14" t="str">
        <f t="shared" si="20"/>
        <v>Eastside</v>
      </c>
      <c r="Q47" s="1" t="str">
        <f t="shared" si="21"/>
        <v>Clinic</v>
      </c>
      <c r="R47" s="17"/>
      <c r="CX47" s="1" t="s">
        <v>72</v>
      </c>
      <c r="CY47" s="1" t="s">
        <v>302</v>
      </c>
      <c r="CZ47" s="1" t="s">
        <v>325</v>
      </c>
      <c r="DA47" s="1" t="s">
        <v>286</v>
      </c>
      <c r="DB47" s="2">
        <v>31656</v>
      </c>
      <c r="DC47" s="14">
        <v>8019925828</v>
      </c>
      <c r="DD47" s="1" t="s">
        <v>320</v>
      </c>
      <c r="DE47" s="2">
        <v>44408</v>
      </c>
      <c r="DF47" s="1" t="s">
        <v>309</v>
      </c>
      <c r="DG47" s="1" t="s">
        <v>398</v>
      </c>
      <c r="DH47" s="1" t="s">
        <v>327</v>
      </c>
      <c r="DI47" t="str">
        <f t="shared" si="11"/>
        <v>Michael Taylor</v>
      </c>
    </row>
    <row r="48" spans="1:113" x14ac:dyDescent="0.25">
      <c r="A48" s="1" t="s">
        <v>85</v>
      </c>
      <c r="B48" s="2">
        <v>44934</v>
      </c>
      <c r="C48" s="4">
        <v>0.60416666666666663</v>
      </c>
      <c r="D48" s="1" t="s">
        <v>29</v>
      </c>
      <c r="E48" s="1" t="s">
        <v>15</v>
      </c>
      <c r="F48" s="1" t="s">
        <v>86</v>
      </c>
      <c r="G48" s="1" t="str">
        <f t="shared" si="12"/>
        <v>Michael Wilson</v>
      </c>
      <c r="H48" s="1" t="str">
        <f t="shared" si="13"/>
        <v>F</v>
      </c>
      <c r="I48" s="2">
        <f t="shared" si="14"/>
        <v>25605</v>
      </c>
      <c r="J48" s="24">
        <f t="shared" ca="1" si="15"/>
        <v>56</v>
      </c>
      <c r="K48" s="24" t="str">
        <f t="shared" ca="1" si="16"/>
        <v>46-60 Group</v>
      </c>
      <c r="L48" s="1" t="s">
        <v>25</v>
      </c>
      <c r="M48" s="1" t="str">
        <f t="shared" si="17"/>
        <v>Jane Smith</v>
      </c>
      <c r="N48" s="1" t="str">
        <f t="shared" si="18"/>
        <v>Pediatrics</v>
      </c>
      <c r="O48" s="24">
        <f t="shared" si="19"/>
        <v>19</v>
      </c>
      <c r="P48" s="14" t="str">
        <f t="shared" si="20"/>
        <v>Eastside</v>
      </c>
      <c r="Q48" s="1" t="str">
        <f t="shared" si="21"/>
        <v>Clinic</v>
      </c>
      <c r="R48" s="17"/>
      <c r="CX48" s="1" t="s">
        <v>66</v>
      </c>
      <c r="CY48" s="1" t="s">
        <v>340</v>
      </c>
      <c r="CZ48" s="1" t="s">
        <v>348</v>
      </c>
      <c r="DA48" s="1" t="s">
        <v>299</v>
      </c>
      <c r="DB48" s="2">
        <v>35046</v>
      </c>
      <c r="DC48" s="14">
        <v>8715732851</v>
      </c>
      <c r="DD48" s="1" t="s">
        <v>293</v>
      </c>
      <c r="DE48" s="2">
        <v>44701</v>
      </c>
      <c r="DF48" s="1" t="s">
        <v>288</v>
      </c>
      <c r="DG48" s="1" t="s">
        <v>399</v>
      </c>
      <c r="DH48" s="1" t="s">
        <v>350</v>
      </c>
      <c r="DI48" t="str">
        <f t="shared" si="11"/>
        <v>Jane Moore</v>
      </c>
    </row>
    <row r="49" spans="1:113" x14ac:dyDescent="0.25">
      <c r="A49" s="1" t="s">
        <v>99</v>
      </c>
      <c r="B49" s="2">
        <v>45280</v>
      </c>
      <c r="C49" s="4">
        <v>0.55208333333333337</v>
      </c>
      <c r="D49" s="1" t="s">
        <v>18</v>
      </c>
      <c r="E49" s="1" t="s">
        <v>19</v>
      </c>
      <c r="F49" s="1" t="s">
        <v>100</v>
      </c>
      <c r="G49" s="1" t="str">
        <f t="shared" si="12"/>
        <v>Sarah Miller</v>
      </c>
      <c r="H49" s="1" t="str">
        <f t="shared" si="13"/>
        <v>M</v>
      </c>
      <c r="I49" s="2">
        <f t="shared" si="14"/>
        <v>27538</v>
      </c>
      <c r="J49" s="24">
        <f t="shared" ca="1" si="15"/>
        <v>51</v>
      </c>
      <c r="K49" s="24" t="str">
        <f t="shared" ca="1" si="16"/>
        <v>46-60 Group</v>
      </c>
      <c r="L49" s="1" t="s">
        <v>25</v>
      </c>
      <c r="M49" s="1" t="str">
        <f t="shared" si="17"/>
        <v>Jane Smith</v>
      </c>
      <c r="N49" s="1" t="str">
        <f t="shared" si="18"/>
        <v>Pediatrics</v>
      </c>
      <c r="O49" s="24">
        <f t="shared" si="19"/>
        <v>19</v>
      </c>
      <c r="P49" s="14" t="str">
        <f t="shared" si="20"/>
        <v>Eastside</v>
      </c>
      <c r="Q49" s="1" t="str">
        <f t="shared" si="21"/>
        <v>Clinic</v>
      </c>
      <c r="R49" s="17"/>
      <c r="CX49" s="1" t="s">
        <v>17</v>
      </c>
      <c r="CY49" s="1" t="s">
        <v>291</v>
      </c>
      <c r="CZ49" s="1" t="s">
        <v>345</v>
      </c>
      <c r="DA49" s="1" t="s">
        <v>299</v>
      </c>
      <c r="DB49" s="2">
        <v>30399</v>
      </c>
      <c r="DC49" s="14">
        <v>8720989381</v>
      </c>
      <c r="DD49" s="1" t="s">
        <v>304</v>
      </c>
      <c r="DE49" s="2">
        <v>45096</v>
      </c>
      <c r="DF49" s="1" t="s">
        <v>294</v>
      </c>
      <c r="DG49" s="1" t="s">
        <v>400</v>
      </c>
      <c r="DH49" s="1" t="s">
        <v>401</v>
      </c>
      <c r="DI49" t="str">
        <f t="shared" si="11"/>
        <v>Emily Miller</v>
      </c>
    </row>
    <row r="50" spans="1:113" x14ac:dyDescent="0.25">
      <c r="A50" s="1" t="s">
        <v>132</v>
      </c>
      <c r="B50" s="2">
        <v>45164</v>
      </c>
      <c r="C50" s="4">
        <v>0.70833333333333337</v>
      </c>
      <c r="D50" s="1" t="s">
        <v>38</v>
      </c>
      <c r="E50" s="1" t="s">
        <v>11</v>
      </c>
      <c r="F50" s="1" t="s">
        <v>47</v>
      </c>
      <c r="G50" s="1" t="str">
        <f t="shared" si="12"/>
        <v>Laura Jones</v>
      </c>
      <c r="H50" s="1" t="str">
        <f t="shared" si="13"/>
        <v>M</v>
      </c>
      <c r="I50" s="2">
        <f t="shared" si="14"/>
        <v>28358</v>
      </c>
      <c r="J50" s="24">
        <f t="shared" ca="1" si="15"/>
        <v>49</v>
      </c>
      <c r="K50" s="24" t="str">
        <f t="shared" ca="1" si="16"/>
        <v>46-60 Group</v>
      </c>
      <c r="L50" s="1" t="s">
        <v>25</v>
      </c>
      <c r="M50" s="1" t="str">
        <f t="shared" si="17"/>
        <v>Jane Smith</v>
      </c>
      <c r="N50" s="1" t="str">
        <f t="shared" si="18"/>
        <v>Pediatrics</v>
      </c>
      <c r="O50" s="24">
        <f t="shared" si="19"/>
        <v>19</v>
      </c>
      <c r="P50" s="14" t="str">
        <f t="shared" si="20"/>
        <v>Eastside</v>
      </c>
      <c r="Q50" s="1" t="str">
        <f t="shared" si="21"/>
        <v>Clinic</v>
      </c>
      <c r="R50" s="17"/>
      <c r="CX50" s="1" t="s">
        <v>68</v>
      </c>
      <c r="CY50" s="1" t="s">
        <v>284</v>
      </c>
      <c r="CZ50" s="1" t="s">
        <v>348</v>
      </c>
      <c r="DA50" s="1" t="s">
        <v>299</v>
      </c>
      <c r="DB50" s="2">
        <v>26629</v>
      </c>
      <c r="DC50" s="14">
        <v>7712937941</v>
      </c>
      <c r="DD50" s="1" t="s">
        <v>293</v>
      </c>
      <c r="DE50" s="2">
        <v>45091</v>
      </c>
      <c r="DF50" s="1" t="s">
        <v>309</v>
      </c>
      <c r="DG50" s="1" t="s">
        <v>402</v>
      </c>
      <c r="DH50" s="1" t="s">
        <v>403</v>
      </c>
      <c r="DI50" t="str">
        <f t="shared" si="11"/>
        <v>David Moore</v>
      </c>
    </row>
    <row r="51" spans="1:113" x14ac:dyDescent="0.25">
      <c r="A51" s="1" t="s">
        <v>135</v>
      </c>
      <c r="B51" s="2">
        <v>45284</v>
      </c>
      <c r="C51" s="4">
        <v>0.625</v>
      </c>
      <c r="D51" s="1" t="s">
        <v>38</v>
      </c>
      <c r="E51" s="1" t="s">
        <v>41</v>
      </c>
      <c r="F51" s="1" t="s">
        <v>24</v>
      </c>
      <c r="G51" s="1" t="str">
        <f t="shared" si="12"/>
        <v>Emily Williams</v>
      </c>
      <c r="H51" s="1" t="str">
        <f t="shared" si="13"/>
        <v>M</v>
      </c>
      <c r="I51" s="2">
        <f t="shared" si="14"/>
        <v>26449</v>
      </c>
      <c r="J51" s="24">
        <f t="shared" ca="1" si="15"/>
        <v>54</v>
      </c>
      <c r="K51" s="24" t="str">
        <f t="shared" ca="1" si="16"/>
        <v>46-60 Group</v>
      </c>
      <c r="L51" s="1" t="s">
        <v>25</v>
      </c>
      <c r="M51" s="1" t="str">
        <f t="shared" si="17"/>
        <v>Jane Smith</v>
      </c>
      <c r="N51" s="1" t="str">
        <f t="shared" si="18"/>
        <v>Pediatrics</v>
      </c>
      <c r="O51" s="24">
        <f t="shared" si="19"/>
        <v>19</v>
      </c>
      <c r="P51" s="14" t="str">
        <f t="shared" si="20"/>
        <v>Eastside</v>
      </c>
      <c r="Q51" s="1" t="str">
        <f t="shared" si="21"/>
        <v>Clinic</v>
      </c>
      <c r="R51" s="17"/>
      <c r="CX51" s="1" t="s">
        <v>123</v>
      </c>
      <c r="CY51" s="1" t="s">
        <v>297</v>
      </c>
      <c r="CZ51" s="1" t="s">
        <v>308</v>
      </c>
      <c r="DA51" s="1" t="s">
        <v>299</v>
      </c>
      <c r="DB51" s="2">
        <v>34330</v>
      </c>
      <c r="DC51" s="14">
        <v>8301134730</v>
      </c>
      <c r="DD51" s="1" t="s">
        <v>293</v>
      </c>
      <c r="DE51" s="2">
        <v>45044</v>
      </c>
      <c r="DF51" s="1" t="s">
        <v>288</v>
      </c>
      <c r="DG51" s="1" t="s">
        <v>404</v>
      </c>
      <c r="DH51" s="1" t="s">
        <v>344</v>
      </c>
      <c r="DI51" t="str">
        <f t="shared" si="11"/>
        <v>Laura Wilson</v>
      </c>
    </row>
    <row r="52" spans="1:113" x14ac:dyDescent="0.25">
      <c r="A52" s="1" t="s">
        <v>164</v>
      </c>
      <c r="B52" s="2">
        <v>45114</v>
      </c>
      <c r="C52" s="4">
        <v>0.625</v>
      </c>
      <c r="D52" s="1" t="s">
        <v>18</v>
      </c>
      <c r="E52" s="1" t="s">
        <v>41</v>
      </c>
      <c r="F52" s="1" t="s">
        <v>106</v>
      </c>
      <c r="G52" s="1" t="str">
        <f t="shared" si="12"/>
        <v>Michael Johnson</v>
      </c>
      <c r="H52" s="1" t="str">
        <f t="shared" si="13"/>
        <v>F</v>
      </c>
      <c r="I52" s="2">
        <f t="shared" si="14"/>
        <v>29637</v>
      </c>
      <c r="J52" s="24">
        <f t="shared" ca="1" si="15"/>
        <v>45</v>
      </c>
      <c r="K52" s="24" t="str">
        <f t="shared" ca="1" si="16"/>
        <v>31-45 Group</v>
      </c>
      <c r="L52" s="1" t="s">
        <v>25</v>
      </c>
      <c r="M52" s="1" t="str">
        <f t="shared" si="17"/>
        <v>Jane Smith</v>
      </c>
      <c r="N52" s="1" t="str">
        <f t="shared" si="18"/>
        <v>Pediatrics</v>
      </c>
      <c r="O52" s="24">
        <f t="shared" si="19"/>
        <v>19</v>
      </c>
      <c r="P52" s="14" t="str">
        <f t="shared" si="20"/>
        <v>Eastside</v>
      </c>
      <c r="Q52" s="1" t="str">
        <f t="shared" si="21"/>
        <v>Clinic</v>
      </c>
      <c r="R52" s="17"/>
    </row>
    <row r="53" spans="1:113" x14ac:dyDescent="0.25">
      <c r="A53" s="1" t="s">
        <v>174</v>
      </c>
      <c r="B53" s="2">
        <v>45152</v>
      </c>
      <c r="C53" s="4">
        <v>0.66666666666666663</v>
      </c>
      <c r="D53" s="1" t="s">
        <v>29</v>
      </c>
      <c r="E53" s="1" t="s">
        <v>15</v>
      </c>
      <c r="F53" s="1" t="s">
        <v>92</v>
      </c>
      <c r="G53" s="1" t="str">
        <f t="shared" si="12"/>
        <v>Michael Taylor</v>
      </c>
      <c r="H53" s="1" t="str">
        <f t="shared" si="13"/>
        <v>M</v>
      </c>
      <c r="I53" s="2">
        <f t="shared" si="14"/>
        <v>37177</v>
      </c>
      <c r="J53" s="24">
        <f t="shared" ca="1" si="15"/>
        <v>24</v>
      </c>
      <c r="K53" s="24" t="str">
        <f t="shared" ca="1" si="16"/>
        <v>19-30 Group</v>
      </c>
      <c r="L53" s="1" t="s">
        <v>25</v>
      </c>
      <c r="M53" s="1" t="str">
        <f t="shared" si="17"/>
        <v>Jane Smith</v>
      </c>
      <c r="N53" s="1" t="str">
        <f t="shared" si="18"/>
        <v>Pediatrics</v>
      </c>
      <c r="O53" s="24">
        <f t="shared" si="19"/>
        <v>19</v>
      </c>
      <c r="P53" s="14" t="str">
        <f t="shared" si="20"/>
        <v>Eastside</v>
      </c>
      <c r="Q53" s="1" t="str">
        <f t="shared" si="21"/>
        <v>Clinic</v>
      </c>
      <c r="R53" s="17"/>
    </row>
    <row r="54" spans="1:113" x14ac:dyDescent="0.25">
      <c r="A54" s="1" t="s">
        <v>183</v>
      </c>
      <c r="B54" s="2">
        <v>45254</v>
      </c>
      <c r="C54" s="4">
        <v>0.64583333333333337</v>
      </c>
      <c r="D54" s="1" t="s">
        <v>18</v>
      </c>
      <c r="E54" s="1" t="s">
        <v>19</v>
      </c>
      <c r="F54" s="1" t="s">
        <v>84</v>
      </c>
      <c r="G54" s="1" t="str">
        <f t="shared" si="12"/>
        <v>Michael Wilson</v>
      </c>
      <c r="H54" s="1" t="str">
        <f t="shared" si="13"/>
        <v>M</v>
      </c>
      <c r="I54" s="2">
        <f t="shared" si="14"/>
        <v>35790</v>
      </c>
      <c r="J54" s="24">
        <f t="shared" ca="1" si="15"/>
        <v>28</v>
      </c>
      <c r="K54" s="24" t="str">
        <f t="shared" ca="1" si="16"/>
        <v>19-30 Group</v>
      </c>
      <c r="L54" s="1" t="s">
        <v>25</v>
      </c>
      <c r="M54" s="1" t="str">
        <f t="shared" si="17"/>
        <v>Jane Smith</v>
      </c>
      <c r="N54" s="1" t="str">
        <f t="shared" si="18"/>
        <v>Pediatrics</v>
      </c>
      <c r="O54" s="24">
        <f t="shared" si="19"/>
        <v>19</v>
      </c>
      <c r="P54" s="14" t="str">
        <f t="shared" si="20"/>
        <v>Eastside</v>
      </c>
      <c r="Q54" s="1" t="str">
        <f t="shared" si="21"/>
        <v>Clinic</v>
      </c>
      <c r="R54" s="17"/>
    </row>
    <row r="55" spans="1:113" x14ac:dyDescent="0.25">
      <c r="A55" s="1" t="s">
        <v>189</v>
      </c>
      <c r="B55" s="2">
        <v>45147</v>
      </c>
      <c r="C55" s="4">
        <v>0.34375</v>
      </c>
      <c r="D55" s="1" t="s">
        <v>18</v>
      </c>
      <c r="E55" s="1" t="s">
        <v>11</v>
      </c>
      <c r="F55" s="1" t="s">
        <v>109</v>
      </c>
      <c r="G55" s="1" t="str">
        <f t="shared" si="12"/>
        <v>Sarah Brown</v>
      </c>
      <c r="H55" s="1" t="str">
        <f t="shared" si="13"/>
        <v>F</v>
      </c>
      <c r="I55" s="2">
        <f t="shared" si="14"/>
        <v>33546</v>
      </c>
      <c r="J55" s="24">
        <f t="shared" ca="1" si="15"/>
        <v>34</v>
      </c>
      <c r="K55" s="24" t="str">
        <f t="shared" ca="1" si="16"/>
        <v>31-45 Group</v>
      </c>
      <c r="L55" s="1" t="s">
        <v>25</v>
      </c>
      <c r="M55" s="1" t="str">
        <f t="shared" si="17"/>
        <v>Jane Smith</v>
      </c>
      <c r="N55" s="1" t="str">
        <f t="shared" si="18"/>
        <v>Pediatrics</v>
      </c>
      <c r="O55" s="24">
        <f t="shared" si="19"/>
        <v>19</v>
      </c>
      <c r="P55" s="14" t="str">
        <f t="shared" si="20"/>
        <v>Eastside</v>
      </c>
      <c r="Q55" s="1" t="str">
        <f t="shared" si="21"/>
        <v>Clinic</v>
      </c>
      <c r="R55" s="17"/>
    </row>
    <row r="56" spans="1:113" x14ac:dyDescent="0.25">
      <c r="A56" s="1" t="s">
        <v>202</v>
      </c>
      <c r="B56" s="2">
        <v>45057</v>
      </c>
      <c r="C56" s="4">
        <v>0.6875</v>
      </c>
      <c r="D56" s="1" t="s">
        <v>10</v>
      </c>
      <c r="E56" s="1" t="s">
        <v>15</v>
      </c>
      <c r="F56" s="1" t="s">
        <v>68</v>
      </c>
      <c r="G56" s="1" t="str">
        <f t="shared" si="12"/>
        <v>David Moore</v>
      </c>
      <c r="H56" s="1" t="str">
        <f t="shared" si="13"/>
        <v>M</v>
      </c>
      <c r="I56" s="2">
        <f t="shared" si="14"/>
        <v>26629</v>
      </c>
      <c r="J56" s="24">
        <f t="shared" ca="1" si="15"/>
        <v>53</v>
      </c>
      <c r="K56" s="24" t="str">
        <f t="shared" ca="1" si="16"/>
        <v>46-60 Group</v>
      </c>
      <c r="L56" s="1" t="s">
        <v>25</v>
      </c>
      <c r="M56" s="1" t="str">
        <f t="shared" si="17"/>
        <v>Jane Smith</v>
      </c>
      <c r="N56" s="1" t="str">
        <f t="shared" si="18"/>
        <v>Pediatrics</v>
      </c>
      <c r="O56" s="24">
        <f t="shared" si="19"/>
        <v>19</v>
      </c>
      <c r="P56" s="14" t="str">
        <f t="shared" si="20"/>
        <v>Eastside</v>
      </c>
      <c r="Q56" s="1" t="str">
        <f t="shared" si="21"/>
        <v>Clinic</v>
      </c>
      <c r="R56" s="17"/>
    </row>
    <row r="57" spans="1:113" x14ac:dyDescent="0.25">
      <c r="A57" s="1" t="s">
        <v>213</v>
      </c>
      <c r="B57" s="2">
        <v>45231</v>
      </c>
      <c r="C57" s="4">
        <v>0.48958333333333331</v>
      </c>
      <c r="D57" s="1" t="s">
        <v>10</v>
      </c>
      <c r="E57" s="1" t="s">
        <v>15</v>
      </c>
      <c r="F57" s="1" t="s">
        <v>100</v>
      </c>
      <c r="G57" s="1" t="str">
        <f t="shared" si="12"/>
        <v>Sarah Miller</v>
      </c>
      <c r="H57" s="1" t="str">
        <f t="shared" si="13"/>
        <v>M</v>
      </c>
      <c r="I57" s="2">
        <f t="shared" si="14"/>
        <v>27538</v>
      </c>
      <c r="J57" s="24">
        <f t="shared" ca="1" si="15"/>
        <v>51</v>
      </c>
      <c r="K57" s="24" t="str">
        <f t="shared" ca="1" si="16"/>
        <v>46-60 Group</v>
      </c>
      <c r="L57" s="1" t="s">
        <v>25</v>
      </c>
      <c r="M57" s="1" t="str">
        <f t="shared" si="17"/>
        <v>Jane Smith</v>
      </c>
      <c r="N57" s="1" t="str">
        <f t="shared" si="18"/>
        <v>Pediatrics</v>
      </c>
      <c r="O57" s="24">
        <f t="shared" si="19"/>
        <v>19</v>
      </c>
      <c r="P57" s="14" t="str">
        <f t="shared" si="20"/>
        <v>Eastside</v>
      </c>
      <c r="Q57" s="1" t="str">
        <f t="shared" si="21"/>
        <v>Clinic</v>
      </c>
      <c r="R57" s="17"/>
    </row>
    <row r="58" spans="1:113" x14ac:dyDescent="0.25">
      <c r="A58" s="1" t="s">
        <v>221</v>
      </c>
      <c r="B58" s="2">
        <v>45154</v>
      </c>
      <c r="C58" s="4">
        <v>0.44791666666666669</v>
      </c>
      <c r="D58" s="1" t="s">
        <v>10</v>
      </c>
      <c r="E58" s="1" t="s">
        <v>41</v>
      </c>
      <c r="F58" s="1" t="s">
        <v>66</v>
      </c>
      <c r="G58" s="1" t="str">
        <f t="shared" si="12"/>
        <v>Jane Moore</v>
      </c>
      <c r="H58" s="1" t="str">
        <f t="shared" si="13"/>
        <v>M</v>
      </c>
      <c r="I58" s="2">
        <f t="shared" si="14"/>
        <v>35046</v>
      </c>
      <c r="J58" s="24">
        <f t="shared" ca="1" si="15"/>
        <v>30</v>
      </c>
      <c r="K58" s="24" t="str">
        <f t="shared" ca="1" si="16"/>
        <v>19-30 Group</v>
      </c>
      <c r="L58" s="1" t="s">
        <v>25</v>
      </c>
      <c r="M58" s="1" t="str">
        <f t="shared" si="17"/>
        <v>Jane Smith</v>
      </c>
      <c r="N58" s="1" t="str">
        <f t="shared" si="18"/>
        <v>Pediatrics</v>
      </c>
      <c r="O58" s="24">
        <f t="shared" si="19"/>
        <v>19</v>
      </c>
      <c r="P58" s="14" t="str">
        <f t="shared" si="20"/>
        <v>Eastside</v>
      </c>
      <c r="Q58" s="1" t="str">
        <f t="shared" si="21"/>
        <v>Clinic</v>
      </c>
      <c r="R58" s="17"/>
    </row>
    <row r="59" spans="1:113" x14ac:dyDescent="0.25">
      <c r="A59" s="1" t="s">
        <v>230</v>
      </c>
      <c r="B59" s="2">
        <v>45024</v>
      </c>
      <c r="C59" s="4">
        <v>0.67708333333333337</v>
      </c>
      <c r="D59" s="1" t="s">
        <v>26</v>
      </c>
      <c r="E59" s="1" t="s">
        <v>15</v>
      </c>
      <c r="F59" s="1" t="s">
        <v>34</v>
      </c>
      <c r="G59" s="1" t="str">
        <f t="shared" si="12"/>
        <v>Michael Taylor</v>
      </c>
      <c r="H59" s="1" t="str">
        <f t="shared" si="13"/>
        <v>M</v>
      </c>
      <c r="I59" s="2">
        <f t="shared" si="14"/>
        <v>36729</v>
      </c>
      <c r="J59" s="24">
        <f t="shared" ca="1" si="15"/>
        <v>26</v>
      </c>
      <c r="K59" s="24" t="str">
        <f t="shared" ca="1" si="16"/>
        <v>19-30 Group</v>
      </c>
      <c r="L59" s="1" t="s">
        <v>25</v>
      </c>
      <c r="M59" s="1" t="str">
        <f t="shared" si="17"/>
        <v>Jane Smith</v>
      </c>
      <c r="N59" s="1" t="str">
        <f t="shared" si="18"/>
        <v>Pediatrics</v>
      </c>
      <c r="O59" s="24">
        <f t="shared" si="19"/>
        <v>19</v>
      </c>
      <c r="P59" s="14" t="str">
        <f t="shared" si="20"/>
        <v>Eastside</v>
      </c>
      <c r="Q59" s="1" t="str">
        <f t="shared" si="21"/>
        <v>Clinic</v>
      </c>
      <c r="R59" s="17"/>
    </row>
    <row r="60" spans="1:113" x14ac:dyDescent="0.25">
      <c r="A60" s="1" t="s">
        <v>247</v>
      </c>
      <c r="B60" s="2">
        <v>45221</v>
      </c>
      <c r="C60" s="4">
        <v>0.70833333333333337</v>
      </c>
      <c r="D60" s="1" t="s">
        <v>18</v>
      </c>
      <c r="E60" s="1" t="s">
        <v>19</v>
      </c>
      <c r="F60" s="1" t="s">
        <v>177</v>
      </c>
      <c r="G60" s="1" t="str">
        <f t="shared" si="12"/>
        <v>Laura Davis</v>
      </c>
      <c r="H60" s="1" t="str">
        <f t="shared" si="13"/>
        <v>M</v>
      </c>
      <c r="I60" s="2">
        <f t="shared" si="14"/>
        <v>26278</v>
      </c>
      <c r="J60" s="24">
        <f t="shared" ca="1" si="15"/>
        <v>54</v>
      </c>
      <c r="K60" s="24" t="str">
        <f t="shared" ca="1" si="16"/>
        <v>46-60 Group</v>
      </c>
      <c r="L60" s="1" t="s">
        <v>25</v>
      </c>
      <c r="M60" s="1" t="str">
        <f t="shared" si="17"/>
        <v>Jane Smith</v>
      </c>
      <c r="N60" s="1" t="str">
        <f t="shared" si="18"/>
        <v>Pediatrics</v>
      </c>
      <c r="O60" s="24">
        <f t="shared" si="19"/>
        <v>19</v>
      </c>
      <c r="P60" s="14" t="str">
        <f t="shared" si="20"/>
        <v>Eastside</v>
      </c>
      <c r="Q60" s="1" t="str">
        <f t="shared" si="21"/>
        <v>Clinic</v>
      </c>
      <c r="R60" s="17"/>
    </row>
    <row r="61" spans="1:113" x14ac:dyDescent="0.25">
      <c r="A61" s="1" t="s">
        <v>259</v>
      </c>
      <c r="B61" s="2">
        <v>45012</v>
      </c>
      <c r="C61" s="4">
        <v>0.71875</v>
      </c>
      <c r="D61" s="1" t="s">
        <v>38</v>
      </c>
      <c r="E61" s="1" t="s">
        <v>15</v>
      </c>
      <c r="F61" s="1" t="s">
        <v>123</v>
      </c>
      <c r="G61" s="1" t="str">
        <f t="shared" si="12"/>
        <v>Laura Wilson</v>
      </c>
      <c r="H61" s="1" t="str">
        <f t="shared" si="13"/>
        <v>M</v>
      </c>
      <c r="I61" s="2">
        <f t="shared" si="14"/>
        <v>34330</v>
      </c>
      <c r="J61" s="24">
        <f t="shared" ca="1" si="15"/>
        <v>32</v>
      </c>
      <c r="K61" s="24" t="str">
        <f t="shared" ca="1" si="16"/>
        <v>31-45 Group</v>
      </c>
      <c r="L61" s="1" t="s">
        <v>25</v>
      </c>
      <c r="M61" s="1" t="str">
        <f t="shared" si="17"/>
        <v>Jane Smith</v>
      </c>
      <c r="N61" s="1" t="str">
        <f t="shared" si="18"/>
        <v>Pediatrics</v>
      </c>
      <c r="O61" s="24">
        <f t="shared" si="19"/>
        <v>19</v>
      </c>
      <c r="P61" s="14" t="str">
        <f t="shared" si="20"/>
        <v>Eastside</v>
      </c>
      <c r="Q61" s="1" t="str">
        <f t="shared" si="21"/>
        <v>Clinic</v>
      </c>
      <c r="R61" s="17"/>
    </row>
    <row r="62" spans="1:113" x14ac:dyDescent="0.25">
      <c r="A62" s="1" t="s">
        <v>260</v>
      </c>
      <c r="B62" s="2">
        <v>44970</v>
      </c>
      <c r="C62" s="4">
        <v>0.52083333333333337</v>
      </c>
      <c r="D62" s="1" t="s">
        <v>18</v>
      </c>
      <c r="E62" s="1" t="s">
        <v>11</v>
      </c>
      <c r="F62" s="1" t="s">
        <v>117</v>
      </c>
      <c r="G62" s="1" t="str">
        <f t="shared" si="12"/>
        <v>Linda Moore</v>
      </c>
      <c r="H62" s="1" t="str">
        <f t="shared" si="13"/>
        <v>F</v>
      </c>
      <c r="I62" s="2">
        <f t="shared" si="14"/>
        <v>35975</v>
      </c>
      <c r="J62" s="24">
        <f t="shared" ca="1" si="15"/>
        <v>28</v>
      </c>
      <c r="K62" s="24" t="str">
        <f t="shared" ca="1" si="16"/>
        <v>19-30 Group</v>
      </c>
      <c r="L62" s="1" t="s">
        <v>25</v>
      </c>
      <c r="M62" s="1" t="str">
        <f t="shared" si="17"/>
        <v>Jane Smith</v>
      </c>
      <c r="N62" s="1" t="str">
        <f t="shared" si="18"/>
        <v>Pediatrics</v>
      </c>
      <c r="O62" s="24">
        <f t="shared" si="19"/>
        <v>19</v>
      </c>
      <c r="P62" s="14" t="str">
        <f t="shared" si="20"/>
        <v>Eastside</v>
      </c>
      <c r="Q62" s="1" t="str">
        <f t="shared" si="21"/>
        <v>Clinic</v>
      </c>
      <c r="R62" s="17"/>
    </row>
    <row r="63" spans="1:113" x14ac:dyDescent="0.25">
      <c r="A63" s="1" t="s">
        <v>263</v>
      </c>
      <c r="B63" s="2">
        <v>45246</v>
      </c>
      <c r="C63" s="4">
        <v>0.63541666666666663</v>
      </c>
      <c r="D63" s="1" t="s">
        <v>29</v>
      </c>
      <c r="E63" s="1" t="s">
        <v>11</v>
      </c>
      <c r="F63" s="1" t="s">
        <v>45</v>
      </c>
      <c r="G63" s="1" t="str">
        <f t="shared" si="12"/>
        <v>David Smith</v>
      </c>
      <c r="H63" s="1" t="str">
        <f t="shared" si="13"/>
        <v>M</v>
      </c>
      <c r="I63" s="2">
        <f t="shared" si="14"/>
        <v>38487</v>
      </c>
      <c r="J63" s="24">
        <f t="shared" ca="1" si="15"/>
        <v>21</v>
      </c>
      <c r="K63" s="24" t="str">
        <f t="shared" ca="1" si="16"/>
        <v>19-30 Group</v>
      </c>
      <c r="L63" s="1" t="s">
        <v>25</v>
      </c>
      <c r="M63" s="1" t="str">
        <f t="shared" si="17"/>
        <v>Jane Smith</v>
      </c>
      <c r="N63" s="1" t="str">
        <f t="shared" si="18"/>
        <v>Pediatrics</v>
      </c>
      <c r="O63" s="24">
        <f t="shared" si="19"/>
        <v>19</v>
      </c>
      <c r="P63" s="14" t="str">
        <f t="shared" si="20"/>
        <v>Eastside</v>
      </c>
      <c r="Q63" s="1" t="str">
        <f t="shared" si="21"/>
        <v>Clinic</v>
      </c>
      <c r="R63" s="17"/>
    </row>
    <row r="64" spans="1:113" x14ac:dyDescent="0.25">
      <c r="A64" s="1" t="s">
        <v>264</v>
      </c>
      <c r="B64" s="2">
        <v>45028</v>
      </c>
      <c r="C64" s="4">
        <v>0.66666666666666663</v>
      </c>
      <c r="D64" s="1" t="s">
        <v>18</v>
      </c>
      <c r="E64" s="1" t="s">
        <v>19</v>
      </c>
      <c r="F64" s="1" t="s">
        <v>56</v>
      </c>
      <c r="G64" s="1" t="str">
        <f t="shared" si="12"/>
        <v>Robert Williams</v>
      </c>
      <c r="H64" s="1" t="str">
        <f t="shared" si="13"/>
        <v>M</v>
      </c>
      <c r="I64" s="2">
        <f t="shared" si="14"/>
        <v>36196</v>
      </c>
      <c r="J64" s="24">
        <f t="shared" ca="1" si="15"/>
        <v>27</v>
      </c>
      <c r="K64" s="24" t="str">
        <f t="shared" ca="1" si="16"/>
        <v>19-30 Group</v>
      </c>
      <c r="L64" s="1" t="s">
        <v>25</v>
      </c>
      <c r="M64" s="1" t="str">
        <f t="shared" si="17"/>
        <v>Jane Smith</v>
      </c>
      <c r="N64" s="1" t="str">
        <f t="shared" si="18"/>
        <v>Pediatrics</v>
      </c>
      <c r="O64" s="24">
        <f t="shared" si="19"/>
        <v>19</v>
      </c>
      <c r="P64" s="14" t="str">
        <f t="shared" si="20"/>
        <v>Eastside</v>
      </c>
      <c r="Q64" s="1" t="str">
        <f t="shared" si="21"/>
        <v>Clinic</v>
      </c>
      <c r="R64" s="17"/>
    </row>
    <row r="65" spans="1:18" x14ac:dyDescent="0.25">
      <c r="A65" s="1" t="s">
        <v>33</v>
      </c>
      <c r="B65" s="2">
        <v>45070</v>
      </c>
      <c r="C65" s="4">
        <v>0.36458333333333331</v>
      </c>
      <c r="D65" s="1" t="s">
        <v>18</v>
      </c>
      <c r="E65" s="1" t="s">
        <v>19</v>
      </c>
      <c r="F65" s="1" t="s">
        <v>34</v>
      </c>
      <c r="G65" s="1" t="str">
        <f t="shared" si="12"/>
        <v>Michael Taylor</v>
      </c>
      <c r="H65" s="1" t="str">
        <f t="shared" si="13"/>
        <v>M</v>
      </c>
      <c r="I65" s="2">
        <f t="shared" si="14"/>
        <v>36729</v>
      </c>
      <c r="J65" s="24">
        <f t="shared" ca="1" si="15"/>
        <v>26</v>
      </c>
      <c r="K65" s="24" t="str">
        <f t="shared" ca="1" si="16"/>
        <v>19-30 Group</v>
      </c>
      <c r="L65" s="1" t="s">
        <v>35</v>
      </c>
      <c r="M65" s="1" t="str">
        <f t="shared" si="17"/>
        <v>Linda Wilson</v>
      </c>
      <c r="N65" s="1" t="str">
        <f t="shared" si="18"/>
        <v>Oncology</v>
      </c>
      <c r="O65" s="24">
        <f t="shared" si="19"/>
        <v>21</v>
      </c>
      <c r="P65" s="14" t="str">
        <f t="shared" si="20"/>
        <v>Eastside</v>
      </c>
      <c r="Q65" s="1" t="str">
        <f t="shared" si="21"/>
        <v>Clinic</v>
      </c>
      <c r="R65" s="17"/>
    </row>
    <row r="66" spans="1:18" x14ac:dyDescent="0.25">
      <c r="A66" s="1" t="s">
        <v>36</v>
      </c>
      <c r="B66" s="2">
        <v>44990</v>
      </c>
      <c r="C66" s="4">
        <v>0.57291666666666663</v>
      </c>
      <c r="D66" s="1" t="s">
        <v>38</v>
      </c>
      <c r="E66" s="1" t="s">
        <v>11</v>
      </c>
      <c r="F66" s="1" t="s">
        <v>37</v>
      </c>
      <c r="G66" s="1" t="str">
        <f t="shared" ref="G66:G97" si="22">VLOOKUP(F66,$CX$1:$DI$51,12,FALSE)</f>
        <v>Jane Wilson</v>
      </c>
      <c r="H66" s="1" t="str">
        <f t="shared" ref="H66:H97" si="23">VLOOKUP(F66,$CX$1:$DI$51,4,FALSE)</f>
        <v>F</v>
      </c>
      <c r="I66" s="2">
        <f t="shared" ref="I66:I97" si="24">VLOOKUP(F66,$CX$1:$DI$51,5,FALSE)</f>
        <v>18609</v>
      </c>
      <c r="J66" s="24">
        <f t="shared" ref="J66:J97" ca="1" si="25">DATEDIF(I66,TODAY(),"Y")</f>
        <v>75</v>
      </c>
      <c r="K66" s="24" t="str">
        <f t="shared" ref="K66:K97" ca="1" si="26">_xlfn.IFS(J66&lt;=18,"0-18 Group",J66&lt;=30,"19-30 Group",J66&lt;=45,"31-45 Group",J66&lt;=60,"46-60 Group",J66&gt;60,"60+ ")</f>
        <v xml:space="preserve">60+ </v>
      </c>
      <c r="L66" s="1" t="s">
        <v>35</v>
      </c>
      <c r="M66" s="1" t="str">
        <f t="shared" ref="M66:M97" si="27">VLOOKUP(L66,$CL$1:$CU$11,10,FALSE)</f>
        <v>Linda Wilson</v>
      </c>
      <c r="N66" s="1" t="str">
        <f t="shared" ref="N66:N97" si="28">VLOOKUP(L66,$CL$1:$CU$11,4,FALSE)</f>
        <v>Oncology</v>
      </c>
      <c r="O66" s="24">
        <f t="shared" ref="O66:O97" si="29">VLOOKUP(L66,$CL$1:$CU$11,6,FALSE)</f>
        <v>21</v>
      </c>
      <c r="P66" s="14" t="str">
        <f t="shared" ref="P66:P97" si="30">VLOOKUP(L66,$CL$1:$CU$11,7,FALSE)</f>
        <v>Eastside</v>
      </c>
      <c r="Q66" s="1" t="str">
        <f t="shared" ref="Q66:Q97" si="31">VLOOKUP(L66,$CL$1:$CU$11,8,FALSE)</f>
        <v>Clinic</v>
      </c>
      <c r="R66" s="17"/>
    </row>
    <row r="67" spans="1:18" x14ac:dyDescent="0.25">
      <c r="A67" s="1" t="s">
        <v>49</v>
      </c>
      <c r="B67" s="2">
        <v>45071</v>
      </c>
      <c r="C67" s="4">
        <v>0.4375</v>
      </c>
      <c r="D67" s="1" t="s">
        <v>26</v>
      </c>
      <c r="E67" s="1" t="s">
        <v>19</v>
      </c>
      <c r="F67" s="1" t="s">
        <v>50</v>
      </c>
      <c r="G67" s="1" t="str">
        <f t="shared" si="22"/>
        <v>Laura Davis</v>
      </c>
      <c r="H67" s="1" t="str">
        <f t="shared" si="23"/>
        <v>F</v>
      </c>
      <c r="I67" s="2">
        <f t="shared" si="24"/>
        <v>33580</v>
      </c>
      <c r="J67" s="24">
        <f t="shared" ca="1" si="25"/>
        <v>34</v>
      </c>
      <c r="K67" s="24" t="str">
        <f t="shared" ca="1" si="26"/>
        <v>31-45 Group</v>
      </c>
      <c r="L67" s="1" t="s">
        <v>35</v>
      </c>
      <c r="M67" s="1" t="str">
        <f t="shared" si="27"/>
        <v>Linda Wilson</v>
      </c>
      <c r="N67" s="1" t="str">
        <f t="shared" si="28"/>
        <v>Oncology</v>
      </c>
      <c r="O67" s="24">
        <f t="shared" si="29"/>
        <v>21</v>
      </c>
      <c r="P67" s="14" t="str">
        <f t="shared" si="30"/>
        <v>Eastside</v>
      </c>
      <c r="Q67" s="1" t="str">
        <f t="shared" si="31"/>
        <v>Clinic</v>
      </c>
      <c r="R67" s="17"/>
    </row>
    <row r="68" spans="1:18" x14ac:dyDescent="0.25">
      <c r="A68" s="1" t="s">
        <v>76</v>
      </c>
      <c r="B68" s="2">
        <v>45102</v>
      </c>
      <c r="C68" s="4">
        <v>0.60416666666666663</v>
      </c>
      <c r="D68" s="1" t="s">
        <v>29</v>
      </c>
      <c r="E68" s="1" t="s">
        <v>41</v>
      </c>
      <c r="F68" s="1" t="s">
        <v>34</v>
      </c>
      <c r="G68" s="1" t="str">
        <f t="shared" si="22"/>
        <v>Michael Taylor</v>
      </c>
      <c r="H68" s="1" t="str">
        <f t="shared" si="23"/>
        <v>M</v>
      </c>
      <c r="I68" s="2">
        <f t="shared" si="24"/>
        <v>36729</v>
      </c>
      <c r="J68" s="24">
        <f t="shared" ca="1" si="25"/>
        <v>26</v>
      </c>
      <c r="K68" s="24" t="str">
        <f t="shared" ca="1" si="26"/>
        <v>19-30 Group</v>
      </c>
      <c r="L68" s="1" t="s">
        <v>35</v>
      </c>
      <c r="M68" s="1" t="str">
        <f t="shared" si="27"/>
        <v>Linda Wilson</v>
      </c>
      <c r="N68" s="1" t="str">
        <f t="shared" si="28"/>
        <v>Oncology</v>
      </c>
      <c r="O68" s="24">
        <f t="shared" si="29"/>
        <v>21</v>
      </c>
      <c r="P68" s="14" t="str">
        <f t="shared" si="30"/>
        <v>Eastside</v>
      </c>
      <c r="Q68" s="1" t="str">
        <f t="shared" si="31"/>
        <v>Clinic</v>
      </c>
      <c r="R68" s="17"/>
    </row>
    <row r="69" spans="1:18" x14ac:dyDescent="0.25">
      <c r="A69" s="1" t="s">
        <v>103</v>
      </c>
      <c r="B69" s="2">
        <v>45046</v>
      </c>
      <c r="C69" s="4">
        <v>0.64583333333333337</v>
      </c>
      <c r="D69" s="1" t="s">
        <v>18</v>
      </c>
      <c r="E69" s="1" t="s">
        <v>15</v>
      </c>
      <c r="F69" s="1" t="s">
        <v>40</v>
      </c>
      <c r="G69" s="1" t="str">
        <f t="shared" si="22"/>
        <v>David Wilson</v>
      </c>
      <c r="H69" s="1" t="str">
        <f t="shared" si="23"/>
        <v>M</v>
      </c>
      <c r="I69" s="2">
        <f t="shared" si="24"/>
        <v>22090</v>
      </c>
      <c r="J69" s="24">
        <f t="shared" ca="1" si="25"/>
        <v>66</v>
      </c>
      <c r="K69" s="24" t="str">
        <f t="shared" ca="1" si="26"/>
        <v xml:space="preserve">60+ </v>
      </c>
      <c r="L69" s="1" t="s">
        <v>35</v>
      </c>
      <c r="M69" s="1" t="str">
        <f t="shared" si="27"/>
        <v>Linda Wilson</v>
      </c>
      <c r="N69" s="1" t="str">
        <f t="shared" si="28"/>
        <v>Oncology</v>
      </c>
      <c r="O69" s="24">
        <f t="shared" si="29"/>
        <v>21</v>
      </c>
      <c r="P69" s="14" t="str">
        <f t="shared" si="30"/>
        <v>Eastside</v>
      </c>
      <c r="Q69" s="1" t="str">
        <f t="shared" si="31"/>
        <v>Clinic</v>
      </c>
      <c r="R69" s="17"/>
    </row>
    <row r="70" spans="1:18" x14ac:dyDescent="0.25">
      <c r="A70" s="1" t="s">
        <v>111</v>
      </c>
      <c r="B70" s="2">
        <v>45205</v>
      </c>
      <c r="C70" s="4">
        <v>0.72916666666666663</v>
      </c>
      <c r="D70" s="1" t="s">
        <v>29</v>
      </c>
      <c r="E70" s="1" t="s">
        <v>11</v>
      </c>
      <c r="F70" s="1" t="s">
        <v>112</v>
      </c>
      <c r="G70" s="1" t="str">
        <f t="shared" si="22"/>
        <v>Emily Smith</v>
      </c>
      <c r="H70" s="1" t="str">
        <f t="shared" si="23"/>
        <v>F</v>
      </c>
      <c r="I70" s="2">
        <f t="shared" si="24"/>
        <v>30967</v>
      </c>
      <c r="J70" s="24">
        <f t="shared" ca="1" si="25"/>
        <v>41</v>
      </c>
      <c r="K70" s="24" t="str">
        <f t="shared" ca="1" si="26"/>
        <v>31-45 Group</v>
      </c>
      <c r="L70" s="1" t="s">
        <v>35</v>
      </c>
      <c r="M70" s="1" t="str">
        <f t="shared" si="27"/>
        <v>Linda Wilson</v>
      </c>
      <c r="N70" s="1" t="str">
        <f t="shared" si="28"/>
        <v>Oncology</v>
      </c>
      <c r="O70" s="24">
        <f t="shared" si="29"/>
        <v>21</v>
      </c>
      <c r="P70" s="14" t="str">
        <f t="shared" si="30"/>
        <v>Eastside</v>
      </c>
      <c r="Q70" s="1" t="str">
        <f t="shared" si="31"/>
        <v>Clinic</v>
      </c>
      <c r="R70" s="17"/>
    </row>
    <row r="71" spans="1:18" x14ac:dyDescent="0.25">
      <c r="A71" s="1" t="s">
        <v>114</v>
      </c>
      <c r="B71" s="2">
        <v>45031</v>
      </c>
      <c r="C71" s="4">
        <v>0.73958333333333337</v>
      </c>
      <c r="D71" s="1" t="s">
        <v>26</v>
      </c>
      <c r="E71" s="1" t="s">
        <v>41</v>
      </c>
      <c r="F71" s="1" t="s">
        <v>63</v>
      </c>
      <c r="G71" s="1" t="str">
        <f t="shared" si="22"/>
        <v>Alex Moore</v>
      </c>
      <c r="H71" s="1" t="str">
        <f t="shared" si="23"/>
        <v>M</v>
      </c>
      <c r="I71" s="2">
        <f t="shared" si="24"/>
        <v>34072</v>
      </c>
      <c r="J71" s="24">
        <f t="shared" ca="1" si="25"/>
        <v>33</v>
      </c>
      <c r="K71" s="24" t="str">
        <f t="shared" ca="1" si="26"/>
        <v>31-45 Group</v>
      </c>
      <c r="L71" s="1" t="s">
        <v>35</v>
      </c>
      <c r="M71" s="1" t="str">
        <f t="shared" si="27"/>
        <v>Linda Wilson</v>
      </c>
      <c r="N71" s="1" t="str">
        <f t="shared" si="28"/>
        <v>Oncology</v>
      </c>
      <c r="O71" s="24">
        <f t="shared" si="29"/>
        <v>21</v>
      </c>
      <c r="P71" s="14" t="str">
        <f t="shared" si="30"/>
        <v>Eastside</v>
      </c>
      <c r="Q71" s="1" t="str">
        <f t="shared" si="31"/>
        <v>Clinic</v>
      </c>
      <c r="R71" s="17"/>
    </row>
    <row r="72" spans="1:18" x14ac:dyDescent="0.25">
      <c r="A72" s="1" t="s">
        <v>116</v>
      </c>
      <c r="B72" s="2">
        <v>44994</v>
      </c>
      <c r="C72" s="4">
        <v>0.64583333333333337</v>
      </c>
      <c r="D72" s="1" t="s">
        <v>10</v>
      </c>
      <c r="E72" s="1" t="s">
        <v>19</v>
      </c>
      <c r="F72" s="1" t="s">
        <v>117</v>
      </c>
      <c r="G72" s="1" t="str">
        <f t="shared" si="22"/>
        <v>Linda Moore</v>
      </c>
      <c r="H72" s="1" t="str">
        <f t="shared" si="23"/>
        <v>F</v>
      </c>
      <c r="I72" s="2">
        <f t="shared" si="24"/>
        <v>35975</v>
      </c>
      <c r="J72" s="24">
        <f t="shared" ca="1" si="25"/>
        <v>28</v>
      </c>
      <c r="K72" s="24" t="str">
        <f t="shared" ca="1" si="26"/>
        <v>19-30 Group</v>
      </c>
      <c r="L72" s="1" t="s">
        <v>35</v>
      </c>
      <c r="M72" s="1" t="str">
        <f t="shared" si="27"/>
        <v>Linda Wilson</v>
      </c>
      <c r="N72" s="1" t="str">
        <f t="shared" si="28"/>
        <v>Oncology</v>
      </c>
      <c r="O72" s="24">
        <f t="shared" si="29"/>
        <v>21</v>
      </c>
      <c r="P72" s="14" t="str">
        <f t="shared" si="30"/>
        <v>Eastside</v>
      </c>
      <c r="Q72" s="1" t="str">
        <f t="shared" si="31"/>
        <v>Clinic</v>
      </c>
      <c r="R72" s="17"/>
    </row>
    <row r="73" spans="1:18" x14ac:dyDescent="0.25">
      <c r="A73" s="1" t="s">
        <v>140</v>
      </c>
      <c r="B73" s="2">
        <v>45274</v>
      </c>
      <c r="C73" s="4">
        <v>0.71875</v>
      </c>
      <c r="D73" s="1" t="s">
        <v>29</v>
      </c>
      <c r="E73" s="1" t="s">
        <v>41</v>
      </c>
      <c r="F73" s="1" t="s">
        <v>45</v>
      </c>
      <c r="G73" s="1" t="str">
        <f t="shared" si="22"/>
        <v>David Smith</v>
      </c>
      <c r="H73" s="1" t="str">
        <f t="shared" si="23"/>
        <v>M</v>
      </c>
      <c r="I73" s="2">
        <f t="shared" si="24"/>
        <v>38487</v>
      </c>
      <c r="J73" s="24">
        <f t="shared" ca="1" si="25"/>
        <v>21</v>
      </c>
      <c r="K73" s="24" t="str">
        <f t="shared" ca="1" si="26"/>
        <v>19-30 Group</v>
      </c>
      <c r="L73" s="1" t="s">
        <v>35</v>
      </c>
      <c r="M73" s="1" t="str">
        <f t="shared" si="27"/>
        <v>Linda Wilson</v>
      </c>
      <c r="N73" s="1" t="str">
        <f t="shared" si="28"/>
        <v>Oncology</v>
      </c>
      <c r="O73" s="24">
        <f t="shared" si="29"/>
        <v>21</v>
      </c>
      <c r="P73" s="14" t="str">
        <f t="shared" si="30"/>
        <v>Eastside</v>
      </c>
      <c r="Q73" s="1" t="str">
        <f t="shared" si="31"/>
        <v>Clinic</v>
      </c>
      <c r="R73" s="17"/>
    </row>
    <row r="74" spans="1:18" x14ac:dyDescent="0.25">
      <c r="A74" s="1" t="s">
        <v>155</v>
      </c>
      <c r="B74" s="2">
        <v>44971</v>
      </c>
      <c r="C74" s="4">
        <v>0.45833333333333331</v>
      </c>
      <c r="D74" s="1" t="s">
        <v>18</v>
      </c>
      <c r="E74" s="1" t="s">
        <v>41</v>
      </c>
      <c r="F74" s="1" t="s">
        <v>45</v>
      </c>
      <c r="G74" s="1" t="str">
        <f t="shared" si="22"/>
        <v>David Smith</v>
      </c>
      <c r="H74" s="1" t="str">
        <f t="shared" si="23"/>
        <v>M</v>
      </c>
      <c r="I74" s="2">
        <f t="shared" si="24"/>
        <v>38487</v>
      </c>
      <c r="J74" s="24">
        <f t="shared" ca="1" si="25"/>
        <v>21</v>
      </c>
      <c r="K74" s="24" t="str">
        <f t="shared" ca="1" si="26"/>
        <v>19-30 Group</v>
      </c>
      <c r="L74" s="1" t="s">
        <v>35</v>
      </c>
      <c r="M74" s="1" t="str">
        <f t="shared" si="27"/>
        <v>Linda Wilson</v>
      </c>
      <c r="N74" s="1" t="str">
        <f t="shared" si="28"/>
        <v>Oncology</v>
      </c>
      <c r="O74" s="24">
        <f t="shared" si="29"/>
        <v>21</v>
      </c>
      <c r="P74" s="14" t="str">
        <f t="shared" si="30"/>
        <v>Eastside</v>
      </c>
      <c r="Q74" s="1" t="str">
        <f t="shared" si="31"/>
        <v>Clinic</v>
      </c>
      <c r="R74" s="17"/>
    </row>
    <row r="75" spans="1:18" x14ac:dyDescent="0.25">
      <c r="A75" s="1" t="s">
        <v>181</v>
      </c>
      <c r="B75" s="2">
        <v>45068</v>
      </c>
      <c r="C75" s="4">
        <v>0.64583333333333337</v>
      </c>
      <c r="D75" s="1" t="s">
        <v>38</v>
      </c>
      <c r="E75" s="1" t="s">
        <v>11</v>
      </c>
      <c r="F75" s="1" t="s">
        <v>125</v>
      </c>
      <c r="G75" s="1" t="str">
        <f t="shared" si="22"/>
        <v>David Wilson</v>
      </c>
      <c r="H75" s="1" t="str">
        <f t="shared" si="23"/>
        <v>F</v>
      </c>
      <c r="I75" s="2">
        <f t="shared" si="24"/>
        <v>34072</v>
      </c>
      <c r="J75" s="24">
        <f t="shared" ca="1" si="25"/>
        <v>33</v>
      </c>
      <c r="K75" s="24" t="str">
        <f t="shared" ca="1" si="26"/>
        <v>31-45 Group</v>
      </c>
      <c r="L75" s="1" t="s">
        <v>35</v>
      </c>
      <c r="M75" s="1" t="str">
        <f t="shared" si="27"/>
        <v>Linda Wilson</v>
      </c>
      <c r="N75" s="1" t="str">
        <f t="shared" si="28"/>
        <v>Oncology</v>
      </c>
      <c r="O75" s="24">
        <f t="shared" si="29"/>
        <v>21</v>
      </c>
      <c r="P75" s="14" t="str">
        <f t="shared" si="30"/>
        <v>Eastside</v>
      </c>
      <c r="Q75" s="1" t="str">
        <f t="shared" si="31"/>
        <v>Clinic</v>
      </c>
      <c r="R75" s="17"/>
    </row>
    <row r="76" spans="1:18" x14ac:dyDescent="0.25">
      <c r="A76" s="1" t="s">
        <v>182</v>
      </c>
      <c r="B76" s="2">
        <v>44937</v>
      </c>
      <c r="C76" s="4">
        <v>0.33333333333333331</v>
      </c>
      <c r="D76" s="1" t="s">
        <v>38</v>
      </c>
      <c r="E76" s="1" t="s">
        <v>15</v>
      </c>
      <c r="F76" s="1" t="s">
        <v>17</v>
      </c>
      <c r="G76" s="1" t="str">
        <f t="shared" si="22"/>
        <v>Emily Miller</v>
      </c>
      <c r="H76" s="1" t="str">
        <f t="shared" si="23"/>
        <v>M</v>
      </c>
      <c r="I76" s="2">
        <f t="shared" si="24"/>
        <v>30399</v>
      </c>
      <c r="J76" s="24">
        <f t="shared" ca="1" si="25"/>
        <v>43</v>
      </c>
      <c r="K76" s="24" t="str">
        <f t="shared" ca="1" si="26"/>
        <v>31-45 Group</v>
      </c>
      <c r="L76" s="1" t="s">
        <v>35</v>
      </c>
      <c r="M76" s="1" t="str">
        <f t="shared" si="27"/>
        <v>Linda Wilson</v>
      </c>
      <c r="N76" s="1" t="str">
        <f t="shared" si="28"/>
        <v>Oncology</v>
      </c>
      <c r="O76" s="24">
        <f t="shared" si="29"/>
        <v>21</v>
      </c>
      <c r="P76" s="14" t="str">
        <f t="shared" si="30"/>
        <v>Eastside</v>
      </c>
      <c r="Q76" s="1" t="str">
        <f t="shared" si="31"/>
        <v>Clinic</v>
      </c>
      <c r="R76" s="17"/>
    </row>
    <row r="77" spans="1:18" x14ac:dyDescent="0.25">
      <c r="A77" s="1" t="s">
        <v>197</v>
      </c>
      <c r="B77" s="2">
        <v>45232</v>
      </c>
      <c r="C77" s="4">
        <v>0.40625</v>
      </c>
      <c r="D77" s="1" t="s">
        <v>26</v>
      </c>
      <c r="E77" s="1" t="s">
        <v>11</v>
      </c>
      <c r="F77" s="1" t="s">
        <v>21</v>
      </c>
      <c r="G77" s="1" t="str">
        <f t="shared" si="22"/>
        <v>Robert Wilson</v>
      </c>
      <c r="H77" s="1" t="str">
        <f t="shared" si="23"/>
        <v>M</v>
      </c>
      <c r="I77" s="2">
        <f t="shared" si="24"/>
        <v>24333</v>
      </c>
      <c r="J77" s="24">
        <f t="shared" ca="1" si="25"/>
        <v>60</v>
      </c>
      <c r="K77" s="24" t="str">
        <f t="shared" ca="1" si="26"/>
        <v>46-60 Group</v>
      </c>
      <c r="L77" s="1" t="s">
        <v>35</v>
      </c>
      <c r="M77" s="1" t="str">
        <f t="shared" si="27"/>
        <v>Linda Wilson</v>
      </c>
      <c r="N77" s="1" t="str">
        <f t="shared" si="28"/>
        <v>Oncology</v>
      </c>
      <c r="O77" s="24">
        <f t="shared" si="29"/>
        <v>21</v>
      </c>
      <c r="P77" s="14" t="str">
        <f t="shared" si="30"/>
        <v>Eastside</v>
      </c>
      <c r="Q77" s="1" t="str">
        <f t="shared" si="31"/>
        <v>Clinic</v>
      </c>
      <c r="R77" s="17"/>
    </row>
    <row r="78" spans="1:18" x14ac:dyDescent="0.25">
      <c r="A78" s="1" t="s">
        <v>198</v>
      </c>
      <c r="B78" s="2">
        <v>45243</v>
      </c>
      <c r="C78" s="4">
        <v>0.35416666666666669</v>
      </c>
      <c r="D78" s="1" t="s">
        <v>29</v>
      </c>
      <c r="E78" s="1" t="s">
        <v>15</v>
      </c>
      <c r="F78" s="1" t="s">
        <v>125</v>
      </c>
      <c r="G78" s="1" t="str">
        <f t="shared" si="22"/>
        <v>David Wilson</v>
      </c>
      <c r="H78" s="1" t="str">
        <f t="shared" si="23"/>
        <v>F</v>
      </c>
      <c r="I78" s="2">
        <f t="shared" si="24"/>
        <v>34072</v>
      </c>
      <c r="J78" s="24">
        <f t="shared" ca="1" si="25"/>
        <v>33</v>
      </c>
      <c r="K78" s="24" t="str">
        <f t="shared" ca="1" si="26"/>
        <v>31-45 Group</v>
      </c>
      <c r="L78" s="1" t="s">
        <v>35</v>
      </c>
      <c r="M78" s="1" t="str">
        <f t="shared" si="27"/>
        <v>Linda Wilson</v>
      </c>
      <c r="N78" s="1" t="str">
        <f t="shared" si="28"/>
        <v>Oncology</v>
      </c>
      <c r="O78" s="24">
        <f t="shared" si="29"/>
        <v>21</v>
      </c>
      <c r="P78" s="14" t="str">
        <f t="shared" si="30"/>
        <v>Eastside</v>
      </c>
      <c r="Q78" s="1" t="str">
        <f t="shared" si="31"/>
        <v>Clinic</v>
      </c>
      <c r="R78" s="17"/>
    </row>
    <row r="79" spans="1:18" x14ac:dyDescent="0.25">
      <c r="A79" s="1" t="s">
        <v>229</v>
      </c>
      <c r="B79" s="2">
        <v>45119</v>
      </c>
      <c r="C79" s="4">
        <v>0.51041666666666663</v>
      </c>
      <c r="D79" s="1" t="s">
        <v>29</v>
      </c>
      <c r="E79" s="1" t="s">
        <v>41</v>
      </c>
      <c r="F79" s="1" t="s">
        <v>90</v>
      </c>
      <c r="G79" s="1" t="str">
        <f t="shared" si="22"/>
        <v>Linda Johnson</v>
      </c>
      <c r="H79" s="1" t="str">
        <f t="shared" si="23"/>
        <v>M</v>
      </c>
      <c r="I79" s="2">
        <f t="shared" si="24"/>
        <v>34387</v>
      </c>
      <c r="J79" s="24">
        <f t="shared" ca="1" si="25"/>
        <v>32</v>
      </c>
      <c r="K79" s="24" t="str">
        <f t="shared" ca="1" si="26"/>
        <v>31-45 Group</v>
      </c>
      <c r="L79" s="1" t="s">
        <v>35</v>
      </c>
      <c r="M79" s="1" t="str">
        <f t="shared" si="27"/>
        <v>Linda Wilson</v>
      </c>
      <c r="N79" s="1" t="str">
        <f t="shared" si="28"/>
        <v>Oncology</v>
      </c>
      <c r="O79" s="24">
        <f t="shared" si="29"/>
        <v>21</v>
      </c>
      <c r="P79" s="14" t="str">
        <f t="shared" si="30"/>
        <v>Eastside</v>
      </c>
      <c r="Q79" s="1" t="str">
        <f t="shared" si="31"/>
        <v>Clinic</v>
      </c>
      <c r="R79" s="17"/>
    </row>
    <row r="80" spans="1:18" x14ac:dyDescent="0.25">
      <c r="A80" s="1" t="s">
        <v>235</v>
      </c>
      <c r="B80" s="2">
        <v>45104</v>
      </c>
      <c r="C80" s="4">
        <v>0.625</v>
      </c>
      <c r="D80" s="1" t="s">
        <v>10</v>
      </c>
      <c r="E80" s="1" t="s">
        <v>15</v>
      </c>
      <c r="F80" s="1" t="s">
        <v>37</v>
      </c>
      <c r="G80" s="1" t="str">
        <f t="shared" si="22"/>
        <v>Jane Wilson</v>
      </c>
      <c r="H80" s="1" t="str">
        <f t="shared" si="23"/>
        <v>F</v>
      </c>
      <c r="I80" s="2">
        <f t="shared" si="24"/>
        <v>18609</v>
      </c>
      <c r="J80" s="24">
        <f t="shared" ca="1" si="25"/>
        <v>75</v>
      </c>
      <c r="K80" s="24" t="str">
        <f t="shared" ca="1" si="26"/>
        <v xml:space="preserve">60+ </v>
      </c>
      <c r="L80" s="1" t="s">
        <v>35</v>
      </c>
      <c r="M80" s="1" t="str">
        <f t="shared" si="27"/>
        <v>Linda Wilson</v>
      </c>
      <c r="N80" s="1" t="str">
        <f t="shared" si="28"/>
        <v>Oncology</v>
      </c>
      <c r="O80" s="24">
        <f t="shared" si="29"/>
        <v>21</v>
      </c>
      <c r="P80" s="14" t="str">
        <f t="shared" si="30"/>
        <v>Eastside</v>
      </c>
      <c r="Q80" s="1" t="str">
        <f t="shared" si="31"/>
        <v>Clinic</v>
      </c>
      <c r="R80" s="17"/>
    </row>
    <row r="81" spans="1:18" x14ac:dyDescent="0.25">
      <c r="A81" s="1" t="s">
        <v>238</v>
      </c>
      <c r="B81" s="2">
        <v>44938</v>
      </c>
      <c r="C81" s="4">
        <v>0.61458333333333337</v>
      </c>
      <c r="D81" s="1" t="s">
        <v>10</v>
      </c>
      <c r="E81" s="1" t="s">
        <v>15</v>
      </c>
      <c r="F81" s="1" t="s">
        <v>40</v>
      </c>
      <c r="G81" s="1" t="str">
        <f t="shared" si="22"/>
        <v>David Wilson</v>
      </c>
      <c r="H81" s="1" t="str">
        <f t="shared" si="23"/>
        <v>M</v>
      </c>
      <c r="I81" s="2">
        <f t="shared" si="24"/>
        <v>22090</v>
      </c>
      <c r="J81" s="24">
        <f t="shared" ca="1" si="25"/>
        <v>66</v>
      </c>
      <c r="K81" s="24" t="str">
        <f t="shared" ca="1" si="26"/>
        <v xml:space="preserve">60+ </v>
      </c>
      <c r="L81" s="1" t="s">
        <v>35</v>
      </c>
      <c r="M81" s="1" t="str">
        <f t="shared" si="27"/>
        <v>Linda Wilson</v>
      </c>
      <c r="N81" s="1" t="str">
        <f t="shared" si="28"/>
        <v>Oncology</v>
      </c>
      <c r="O81" s="24">
        <f t="shared" si="29"/>
        <v>21</v>
      </c>
      <c r="P81" s="14" t="str">
        <f t="shared" si="30"/>
        <v>Eastside</v>
      </c>
      <c r="Q81" s="1" t="str">
        <f t="shared" si="31"/>
        <v>Clinic</v>
      </c>
      <c r="R81" s="17"/>
    </row>
    <row r="82" spans="1:18" x14ac:dyDescent="0.25">
      <c r="A82" s="1" t="s">
        <v>262</v>
      </c>
      <c r="B82" s="2">
        <v>45204</v>
      </c>
      <c r="C82" s="4">
        <v>0.5625</v>
      </c>
      <c r="D82" s="1" t="s">
        <v>38</v>
      </c>
      <c r="E82" s="1" t="s">
        <v>11</v>
      </c>
      <c r="F82" s="1" t="s">
        <v>40</v>
      </c>
      <c r="G82" s="1" t="str">
        <f t="shared" si="22"/>
        <v>David Wilson</v>
      </c>
      <c r="H82" s="1" t="str">
        <f t="shared" si="23"/>
        <v>M</v>
      </c>
      <c r="I82" s="2">
        <f t="shared" si="24"/>
        <v>22090</v>
      </c>
      <c r="J82" s="24">
        <f t="shared" ca="1" si="25"/>
        <v>66</v>
      </c>
      <c r="K82" s="24" t="str">
        <f t="shared" ca="1" si="26"/>
        <v xml:space="preserve">60+ </v>
      </c>
      <c r="L82" s="1" t="s">
        <v>35</v>
      </c>
      <c r="M82" s="1" t="str">
        <f t="shared" si="27"/>
        <v>Linda Wilson</v>
      </c>
      <c r="N82" s="1" t="str">
        <f t="shared" si="28"/>
        <v>Oncology</v>
      </c>
      <c r="O82" s="24">
        <f t="shared" si="29"/>
        <v>21</v>
      </c>
      <c r="P82" s="14" t="str">
        <f t="shared" si="30"/>
        <v>Eastside</v>
      </c>
      <c r="Q82" s="1" t="str">
        <f t="shared" si="31"/>
        <v>Clinic</v>
      </c>
      <c r="R82" s="17"/>
    </row>
    <row r="83" spans="1:18" x14ac:dyDescent="0.25">
      <c r="A83" s="1" t="s">
        <v>268</v>
      </c>
      <c r="B83" s="2">
        <v>45157</v>
      </c>
      <c r="C83" s="4">
        <v>0.71875</v>
      </c>
      <c r="D83" s="1" t="s">
        <v>29</v>
      </c>
      <c r="E83" s="1" t="s">
        <v>11</v>
      </c>
      <c r="F83" s="1" t="s">
        <v>17</v>
      </c>
      <c r="G83" s="1" t="str">
        <f t="shared" si="22"/>
        <v>Emily Miller</v>
      </c>
      <c r="H83" s="1" t="str">
        <f t="shared" si="23"/>
        <v>M</v>
      </c>
      <c r="I83" s="2">
        <f t="shared" si="24"/>
        <v>30399</v>
      </c>
      <c r="J83" s="24">
        <f t="shared" ca="1" si="25"/>
        <v>43</v>
      </c>
      <c r="K83" s="24" t="str">
        <f t="shared" ca="1" si="26"/>
        <v>31-45 Group</v>
      </c>
      <c r="L83" s="1" t="s">
        <v>35</v>
      </c>
      <c r="M83" s="1" t="str">
        <f t="shared" si="27"/>
        <v>Linda Wilson</v>
      </c>
      <c r="N83" s="1" t="str">
        <f t="shared" si="28"/>
        <v>Oncology</v>
      </c>
      <c r="O83" s="24">
        <f t="shared" si="29"/>
        <v>21</v>
      </c>
      <c r="P83" s="14" t="str">
        <f t="shared" si="30"/>
        <v>Eastside</v>
      </c>
      <c r="Q83" s="1" t="str">
        <f t="shared" si="31"/>
        <v>Clinic</v>
      </c>
      <c r="R83" s="17"/>
    </row>
    <row r="84" spans="1:18" x14ac:dyDescent="0.25">
      <c r="A84" s="1" t="s">
        <v>20</v>
      </c>
      <c r="B84" s="2">
        <v>45170</v>
      </c>
      <c r="C84" s="4">
        <v>0.38541666666666669</v>
      </c>
      <c r="D84" s="1" t="s">
        <v>18</v>
      </c>
      <c r="E84" s="1" t="s">
        <v>19</v>
      </c>
      <c r="F84" s="1" t="s">
        <v>21</v>
      </c>
      <c r="G84" s="1" t="str">
        <f t="shared" si="22"/>
        <v>Robert Wilson</v>
      </c>
      <c r="H84" s="1" t="str">
        <f t="shared" si="23"/>
        <v>M</v>
      </c>
      <c r="I84" s="2">
        <f t="shared" si="24"/>
        <v>24333</v>
      </c>
      <c r="J84" s="24">
        <f t="shared" ca="1" si="25"/>
        <v>60</v>
      </c>
      <c r="K84" s="24" t="str">
        <f t="shared" ca="1" si="26"/>
        <v>46-60 Group</v>
      </c>
      <c r="L84" s="1" t="s">
        <v>22</v>
      </c>
      <c r="M84" s="1" t="str">
        <f t="shared" si="27"/>
        <v>Alex Davis</v>
      </c>
      <c r="N84" s="1" t="str">
        <f t="shared" si="28"/>
        <v>Pediatrics</v>
      </c>
      <c r="O84" s="24">
        <f t="shared" si="29"/>
        <v>23</v>
      </c>
      <c r="P84" s="14" t="str">
        <f t="shared" si="30"/>
        <v>Central</v>
      </c>
      <c r="Q84" s="1" t="str">
        <f t="shared" si="31"/>
        <v>Hospital</v>
      </c>
      <c r="R84" s="17"/>
    </row>
    <row r="85" spans="1:18" x14ac:dyDescent="0.25">
      <c r="A85" s="1" t="s">
        <v>27</v>
      </c>
      <c r="B85" s="2">
        <v>45096</v>
      </c>
      <c r="C85" s="4">
        <v>0.67708333333333337</v>
      </c>
      <c r="D85" s="1" t="s">
        <v>29</v>
      </c>
      <c r="E85" s="1" t="s">
        <v>11</v>
      </c>
      <c r="F85" s="1" t="s">
        <v>28</v>
      </c>
      <c r="G85" s="1" t="str">
        <f t="shared" si="22"/>
        <v>Linda Miller</v>
      </c>
      <c r="H85" s="1" t="str">
        <f t="shared" si="23"/>
        <v>F</v>
      </c>
      <c r="I85" s="2">
        <f t="shared" si="24"/>
        <v>24222</v>
      </c>
      <c r="J85" s="24">
        <f t="shared" ca="1" si="25"/>
        <v>60</v>
      </c>
      <c r="K85" s="24" t="str">
        <f t="shared" ca="1" si="26"/>
        <v>46-60 Group</v>
      </c>
      <c r="L85" s="1" t="s">
        <v>22</v>
      </c>
      <c r="M85" s="1" t="str">
        <f t="shared" si="27"/>
        <v>Alex Davis</v>
      </c>
      <c r="N85" s="1" t="str">
        <f t="shared" si="28"/>
        <v>Pediatrics</v>
      </c>
      <c r="O85" s="24">
        <f t="shared" si="29"/>
        <v>23</v>
      </c>
      <c r="P85" s="14" t="str">
        <f t="shared" si="30"/>
        <v>Central</v>
      </c>
      <c r="Q85" s="1" t="str">
        <f t="shared" si="31"/>
        <v>Hospital</v>
      </c>
      <c r="R85" s="17"/>
    </row>
    <row r="86" spans="1:18" x14ac:dyDescent="0.25">
      <c r="A86" s="1" t="s">
        <v>71</v>
      </c>
      <c r="B86" s="2">
        <v>45002</v>
      </c>
      <c r="C86" s="4">
        <v>0.59375</v>
      </c>
      <c r="D86" s="1" t="s">
        <v>38</v>
      </c>
      <c r="E86" s="1" t="s">
        <v>19</v>
      </c>
      <c r="F86" s="1" t="s">
        <v>72</v>
      </c>
      <c r="G86" s="1" t="str">
        <f t="shared" si="22"/>
        <v>Michael Taylor</v>
      </c>
      <c r="H86" s="1" t="str">
        <f t="shared" si="23"/>
        <v>F</v>
      </c>
      <c r="I86" s="2">
        <f t="shared" si="24"/>
        <v>31656</v>
      </c>
      <c r="J86" s="24">
        <f t="shared" ca="1" si="25"/>
        <v>40</v>
      </c>
      <c r="K86" s="24" t="str">
        <f t="shared" ca="1" si="26"/>
        <v>31-45 Group</v>
      </c>
      <c r="L86" s="1" t="s">
        <v>22</v>
      </c>
      <c r="M86" s="1" t="str">
        <f t="shared" si="27"/>
        <v>Alex Davis</v>
      </c>
      <c r="N86" s="1" t="str">
        <f t="shared" si="28"/>
        <v>Pediatrics</v>
      </c>
      <c r="O86" s="24">
        <f t="shared" si="29"/>
        <v>23</v>
      </c>
      <c r="P86" s="14" t="str">
        <f t="shared" si="30"/>
        <v>Central</v>
      </c>
      <c r="Q86" s="1" t="str">
        <f t="shared" si="31"/>
        <v>Hospital</v>
      </c>
      <c r="R86" s="17"/>
    </row>
    <row r="87" spans="1:18" x14ac:dyDescent="0.25">
      <c r="A87" s="1" t="s">
        <v>75</v>
      </c>
      <c r="B87" s="2">
        <v>45228</v>
      </c>
      <c r="C87" s="4">
        <v>0.64583333333333337</v>
      </c>
      <c r="D87" s="1" t="s">
        <v>29</v>
      </c>
      <c r="E87" s="1" t="s">
        <v>15</v>
      </c>
      <c r="F87" s="1" t="s">
        <v>50</v>
      </c>
      <c r="G87" s="1" t="str">
        <f t="shared" si="22"/>
        <v>Laura Davis</v>
      </c>
      <c r="H87" s="1" t="str">
        <f t="shared" si="23"/>
        <v>F</v>
      </c>
      <c r="I87" s="2">
        <f t="shared" si="24"/>
        <v>33580</v>
      </c>
      <c r="J87" s="24">
        <f t="shared" ca="1" si="25"/>
        <v>34</v>
      </c>
      <c r="K87" s="24" t="str">
        <f t="shared" ca="1" si="26"/>
        <v>31-45 Group</v>
      </c>
      <c r="L87" s="1" t="s">
        <v>22</v>
      </c>
      <c r="M87" s="1" t="str">
        <f t="shared" si="27"/>
        <v>Alex Davis</v>
      </c>
      <c r="N87" s="1" t="str">
        <f t="shared" si="28"/>
        <v>Pediatrics</v>
      </c>
      <c r="O87" s="24">
        <f t="shared" si="29"/>
        <v>23</v>
      </c>
      <c r="P87" s="14" t="str">
        <f t="shared" si="30"/>
        <v>Central</v>
      </c>
      <c r="Q87" s="1" t="str">
        <f t="shared" si="31"/>
        <v>Hospital</v>
      </c>
      <c r="R87" s="17"/>
    </row>
    <row r="88" spans="1:18" x14ac:dyDescent="0.25">
      <c r="A88" s="1" t="s">
        <v>78</v>
      </c>
      <c r="B88" s="2">
        <v>45020</v>
      </c>
      <c r="C88" s="4">
        <v>0.4375</v>
      </c>
      <c r="D88" s="1" t="s">
        <v>29</v>
      </c>
      <c r="E88" s="1" t="s">
        <v>41</v>
      </c>
      <c r="F88" s="1" t="s">
        <v>52</v>
      </c>
      <c r="G88" s="1" t="str">
        <f t="shared" si="22"/>
        <v>John Taylor</v>
      </c>
      <c r="H88" s="1" t="str">
        <f t="shared" si="23"/>
        <v>M</v>
      </c>
      <c r="I88" s="2">
        <f t="shared" si="24"/>
        <v>37953</v>
      </c>
      <c r="J88" s="24">
        <f t="shared" ca="1" si="25"/>
        <v>22</v>
      </c>
      <c r="K88" s="24" t="str">
        <f t="shared" ca="1" si="26"/>
        <v>19-30 Group</v>
      </c>
      <c r="L88" s="1" t="s">
        <v>22</v>
      </c>
      <c r="M88" s="1" t="str">
        <f t="shared" si="27"/>
        <v>Alex Davis</v>
      </c>
      <c r="N88" s="1" t="str">
        <f t="shared" si="28"/>
        <v>Pediatrics</v>
      </c>
      <c r="O88" s="24">
        <f t="shared" si="29"/>
        <v>23</v>
      </c>
      <c r="P88" s="14" t="str">
        <f t="shared" si="30"/>
        <v>Central</v>
      </c>
      <c r="Q88" s="1" t="str">
        <f t="shared" si="31"/>
        <v>Hospital</v>
      </c>
      <c r="R88" s="17"/>
    </row>
    <row r="89" spans="1:18" x14ac:dyDescent="0.25">
      <c r="A89" s="1" t="s">
        <v>96</v>
      </c>
      <c r="B89" s="2">
        <v>45189</v>
      </c>
      <c r="C89" s="4">
        <v>0.52083333333333337</v>
      </c>
      <c r="D89" s="1" t="s">
        <v>38</v>
      </c>
      <c r="E89" s="1" t="s">
        <v>41</v>
      </c>
      <c r="F89" s="1" t="s">
        <v>97</v>
      </c>
      <c r="G89" s="1" t="str">
        <f t="shared" si="22"/>
        <v>Robert Miller</v>
      </c>
      <c r="H89" s="1" t="str">
        <f t="shared" si="23"/>
        <v>M</v>
      </c>
      <c r="I89" s="2">
        <f t="shared" si="24"/>
        <v>31791</v>
      </c>
      <c r="J89" s="24">
        <f t="shared" ca="1" si="25"/>
        <v>39</v>
      </c>
      <c r="K89" s="24" t="str">
        <f t="shared" ca="1" si="26"/>
        <v>31-45 Group</v>
      </c>
      <c r="L89" s="1" t="s">
        <v>22</v>
      </c>
      <c r="M89" s="1" t="str">
        <f t="shared" si="27"/>
        <v>Alex Davis</v>
      </c>
      <c r="N89" s="1" t="str">
        <f t="shared" si="28"/>
        <v>Pediatrics</v>
      </c>
      <c r="O89" s="24">
        <f t="shared" si="29"/>
        <v>23</v>
      </c>
      <c r="P89" s="14" t="str">
        <f t="shared" si="30"/>
        <v>Central</v>
      </c>
      <c r="Q89" s="1" t="str">
        <f t="shared" si="31"/>
        <v>Hospital</v>
      </c>
      <c r="R89" s="17"/>
    </row>
    <row r="90" spans="1:18" x14ac:dyDescent="0.25">
      <c r="A90" s="1" t="s">
        <v>98</v>
      </c>
      <c r="B90" s="2">
        <v>45197</v>
      </c>
      <c r="C90" s="4">
        <v>0.70833333333333337</v>
      </c>
      <c r="D90" s="1" t="s">
        <v>26</v>
      </c>
      <c r="E90" s="1" t="s">
        <v>11</v>
      </c>
      <c r="F90" s="1" t="s">
        <v>92</v>
      </c>
      <c r="G90" s="1" t="str">
        <f t="shared" si="22"/>
        <v>Michael Taylor</v>
      </c>
      <c r="H90" s="1" t="str">
        <f t="shared" si="23"/>
        <v>M</v>
      </c>
      <c r="I90" s="2">
        <f t="shared" si="24"/>
        <v>37177</v>
      </c>
      <c r="J90" s="24">
        <f t="shared" ca="1" si="25"/>
        <v>24</v>
      </c>
      <c r="K90" s="24" t="str">
        <f t="shared" ca="1" si="26"/>
        <v>19-30 Group</v>
      </c>
      <c r="L90" s="1" t="s">
        <v>22</v>
      </c>
      <c r="M90" s="1" t="str">
        <f t="shared" si="27"/>
        <v>Alex Davis</v>
      </c>
      <c r="N90" s="1" t="str">
        <f t="shared" si="28"/>
        <v>Pediatrics</v>
      </c>
      <c r="O90" s="24">
        <f t="shared" si="29"/>
        <v>23</v>
      </c>
      <c r="P90" s="14" t="str">
        <f t="shared" si="30"/>
        <v>Central</v>
      </c>
      <c r="Q90" s="1" t="str">
        <f t="shared" si="31"/>
        <v>Hospital</v>
      </c>
      <c r="R90" s="17"/>
    </row>
    <row r="91" spans="1:18" x14ac:dyDescent="0.25">
      <c r="A91" s="1" t="s">
        <v>105</v>
      </c>
      <c r="B91" s="2">
        <v>44961</v>
      </c>
      <c r="C91" s="4">
        <v>0.48958333333333331</v>
      </c>
      <c r="D91" s="1" t="s">
        <v>29</v>
      </c>
      <c r="E91" s="1" t="s">
        <v>41</v>
      </c>
      <c r="F91" s="1" t="s">
        <v>106</v>
      </c>
      <c r="G91" s="1" t="str">
        <f t="shared" si="22"/>
        <v>Michael Johnson</v>
      </c>
      <c r="H91" s="1" t="str">
        <f t="shared" si="23"/>
        <v>F</v>
      </c>
      <c r="I91" s="2">
        <f t="shared" si="24"/>
        <v>29637</v>
      </c>
      <c r="J91" s="24">
        <f t="shared" ca="1" si="25"/>
        <v>45</v>
      </c>
      <c r="K91" s="24" t="str">
        <f t="shared" ca="1" si="26"/>
        <v>31-45 Group</v>
      </c>
      <c r="L91" s="1" t="s">
        <v>22</v>
      </c>
      <c r="M91" s="1" t="str">
        <f t="shared" si="27"/>
        <v>Alex Davis</v>
      </c>
      <c r="N91" s="1" t="str">
        <f t="shared" si="28"/>
        <v>Pediatrics</v>
      </c>
      <c r="O91" s="24">
        <f t="shared" si="29"/>
        <v>23</v>
      </c>
      <c r="P91" s="14" t="str">
        <f t="shared" si="30"/>
        <v>Central</v>
      </c>
      <c r="Q91" s="1" t="str">
        <f t="shared" si="31"/>
        <v>Hospital</v>
      </c>
      <c r="R91" s="17"/>
    </row>
    <row r="92" spans="1:18" x14ac:dyDescent="0.25">
      <c r="A92" s="1" t="s">
        <v>124</v>
      </c>
      <c r="B92" s="2">
        <v>45077</v>
      </c>
      <c r="C92" s="4">
        <v>0.35416666666666669</v>
      </c>
      <c r="D92" s="1" t="s">
        <v>29</v>
      </c>
      <c r="E92" s="1" t="s">
        <v>19</v>
      </c>
      <c r="F92" s="1" t="s">
        <v>125</v>
      </c>
      <c r="G92" s="1" t="str">
        <f t="shared" si="22"/>
        <v>David Wilson</v>
      </c>
      <c r="H92" s="1" t="str">
        <f t="shared" si="23"/>
        <v>F</v>
      </c>
      <c r="I92" s="2">
        <f t="shared" si="24"/>
        <v>34072</v>
      </c>
      <c r="J92" s="24">
        <f t="shared" ca="1" si="25"/>
        <v>33</v>
      </c>
      <c r="K92" s="24" t="str">
        <f t="shared" ca="1" si="26"/>
        <v>31-45 Group</v>
      </c>
      <c r="L92" s="1" t="s">
        <v>22</v>
      </c>
      <c r="M92" s="1" t="str">
        <f t="shared" si="27"/>
        <v>Alex Davis</v>
      </c>
      <c r="N92" s="1" t="str">
        <f t="shared" si="28"/>
        <v>Pediatrics</v>
      </c>
      <c r="O92" s="24">
        <f t="shared" si="29"/>
        <v>23</v>
      </c>
      <c r="P92" s="14" t="str">
        <f t="shared" si="30"/>
        <v>Central</v>
      </c>
      <c r="Q92" s="1" t="str">
        <f t="shared" si="31"/>
        <v>Hospital</v>
      </c>
      <c r="R92" s="17"/>
    </row>
    <row r="93" spans="1:18" x14ac:dyDescent="0.25">
      <c r="A93" s="1" t="s">
        <v>133</v>
      </c>
      <c r="B93" s="2">
        <v>44952</v>
      </c>
      <c r="C93" s="4">
        <v>0.70833333333333337</v>
      </c>
      <c r="D93" s="1" t="s">
        <v>38</v>
      </c>
      <c r="E93" s="1" t="s">
        <v>11</v>
      </c>
      <c r="F93" s="1" t="s">
        <v>31</v>
      </c>
      <c r="G93" s="1" t="str">
        <f t="shared" si="22"/>
        <v>David Williams</v>
      </c>
      <c r="H93" s="1" t="str">
        <f t="shared" si="23"/>
        <v>F</v>
      </c>
      <c r="I93" s="2">
        <f t="shared" si="24"/>
        <v>20244</v>
      </c>
      <c r="J93" s="24">
        <f t="shared" ca="1" si="25"/>
        <v>71</v>
      </c>
      <c r="K93" s="24" t="str">
        <f t="shared" ca="1" si="26"/>
        <v xml:space="preserve">60+ </v>
      </c>
      <c r="L93" s="1" t="s">
        <v>22</v>
      </c>
      <c r="M93" s="1" t="str">
        <f t="shared" si="27"/>
        <v>Alex Davis</v>
      </c>
      <c r="N93" s="1" t="str">
        <f t="shared" si="28"/>
        <v>Pediatrics</v>
      </c>
      <c r="O93" s="24">
        <f t="shared" si="29"/>
        <v>23</v>
      </c>
      <c r="P93" s="14" t="str">
        <f t="shared" si="30"/>
        <v>Central</v>
      </c>
      <c r="Q93" s="1" t="str">
        <f t="shared" si="31"/>
        <v>Hospital</v>
      </c>
      <c r="R93" s="17"/>
    </row>
    <row r="94" spans="1:18" x14ac:dyDescent="0.25">
      <c r="A94" s="1" t="s">
        <v>148</v>
      </c>
      <c r="B94" s="2">
        <v>45077</v>
      </c>
      <c r="C94" s="4">
        <v>0.66666666666666663</v>
      </c>
      <c r="D94" s="1" t="s">
        <v>18</v>
      </c>
      <c r="E94" s="1" t="s">
        <v>11</v>
      </c>
      <c r="F94" s="1" t="s">
        <v>125</v>
      </c>
      <c r="G94" s="1" t="str">
        <f t="shared" si="22"/>
        <v>David Wilson</v>
      </c>
      <c r="H94" s="1" t="str">
        <f t="shared" si="23"/>
        <v>F</v>
      </c>
      <c r="I94" s="2">
        <f t="shared" si="24"/>
        <v>34072</v>
      </c>
      <c r="J94" s="24">
        <f t="shared" ca="1" si="25"/>
        <v>33</v>
      </c>
      <c r="K94" s="24" t="str">
        <f t="shared" ca="1" si="26"/>
        <v>31-45 Group</v>
      </c>
      <c r="L94" s="1" t="s">
        <v>22</v>
      </c>
      <c r="M94" s="1" t="str">
        <f t="shared" si="27"/>
        <v>Alex Davis</v>
      </c>
      <c r="N94" s="1" t="str">
        <f t="shared" si="28"/>
        <v>Pediatrics</v>
      </c>
      <c r="O94" s="24">
        <f t="shared" si="29"/>
        <v>23</v>
      </c>
      <c r="P94" s="14" t="str">
        <f t="shared" si="30"/>
        <v>Central</v>
      </c>
      <c r="Q94" s="1" t="str">
        <f t="shared" si="31"/>
        <v>Hospital</v>
      </c>
      <c r="R94" s="17"/>
    </row>
    <row r="95" spans="1:18" x14ac:dyDescent="0.25">
      <c r="A95" s="1" t="s">
        <v>157</v>
      </c>
      <c r="B95" s="2">
        <v>45088</v>
      </c>
      <c r="C95" s="4">
        <v>0.55208333333333337</v>
      </c>
      <c r="D95" s="1" t="s">
        <v>26</v>
      </c>
      <c r="E95" s="1" t="s">
        <v>19</v>
      </c>
      <c r="F95" s="1" t="s">
        <v>92</v>
      </c>
      <c r="G95" s="1" t="str">
        <f t="shared" si="22"/>
        <v>Michael Taylor</v>
      </c>
      <c r="H95" s="1" t="str">
        <f t="shared" si="23"/>
        <v>M</v>
      </c>
      <c r="I95" s="2">
        <f t="shared" si="24"/>
        <v>37177</v>
      </c>
      <c r="J95" s="24">
        <f t="shared" ca="1" si="25"/>
        <v>24</v>
      </c>
      <c r="K95" s="24" t="str">
        <f t="shared" ca="1" si="26"/>
        <v>19-30 Group</v>
      </c>
      <c r="L95" s="1" t="s">
        <v>22</v>
      </c>
      <c r="M95" s="1" t="str">
        <f t="shared" si="27"/>
        <v>Alex Davis</v>
      </c>
      <c r="N95" s="1" t="str">
        <f t="shared" si="28"/>
        <v>Pediatrics</v>
      </c>
      <c r="O95" s="24">
        <f t="shared" si="29"/>
        <v>23</v>
      </c>
      <c r="P95" s="14" t="str">
        <f t="shared" si="30"/>
        <v>Central</v>
      </c>
      <c r="Q95" s="1" t="str">
        <f t="shared" si="31"/>
        <v>Hospital</v>
      </c>
      <c r="R95" s="17"/>
    </row>
    <row r="96" spans="1:18" x14ac:dyDescent="0.25">
      <c r="A96" s="1" t="s">
        <v>169</v>
      </c>
      <c r="B96" s="2">
        <v>44987</v>
      </c>
      <c r="C96" s="4">
        <v>0.33333333333333331</v>
      </c>
      <c r="D96" s="1" t="s">
        <v>26</v>
      </c>
      <c r="E96" s="1" t="s">
        <v>11</v>
      </c>
      <c r="F96" s="1" t="s">
        <v>45</v>
      </c>
      <c r="G96" s="1" t="str">
        <f t="shared" si="22"/>
        <v>David Smith</v>
      </c>
      <c r="H96" s="1" t="str">
        <f t="shared" si="23"/>
        <v>M</v>
      </c>
      <c r="I96" s="2">
        <f t="shared" si="24"/>
        <v>38487</v>
      </c>
      <c r="J96" s="24">
        <f t="shared" ca="1" si="25"/>
        <v>21</v>
      </c>
      <c r="K96" s="24" t="str">
        <f t="shared" ca="1" si="26"/>
        <v>19-30 Group</v>
      </c>
      <c r="L96" s="1" t="s">
        <v>22</v>
      </c>
      <c r="M96" s="1" t="str">
        <f t="shared" si="27"/>
        <v>Alex Davis</v>
      </c>
      <c r="N96" s="1" t="str">
        <f t="shared" si="28"/>
        <v>Pediatrics</v>
      </c>
      <c r="O96" s="24">
        <f t="shared" si="29"/>
        <v>23</v>
      </c>
      <c r="P96" s="14" t="str">
        <f t="shared" si="30"/>
        <v>Central</v>
      </c>
      <c r="Q96" s="1" t="str">
        <f t="shared" si="31"/>
        <v>Hospital</v>
      </c>
      <c r="R96" s="17"/>
    </row>
    <row r="97" spans="1:18" x14ac:dyDescent="0.25">
      <c r="A97" s="1" t="s">
        <v>173</v>
      </c>
      <c r="B97" s="2">
        <v>45034</v>
      </c>
      <c r="C97" s="4">
        <v>0.36458333333333331</v>
      </c>
      <c r="D97" s="1" t="s">
        <v>38</v>
      </c>
      <c r="E97" s="1" t="s">
        <v>41</v>
      </c>
      <c r="F97" s="1" t="s">
        <v>84</v>
      </c>
      <c r="G97" s="1" t="str">
        <f t="shared" si="22"/>
        <v>Michael Wilson</v>
      </c>
      <c r="H97" s="1" t="str">
        <f t="shared" si="23"/>
        <v>M</v>
      </c>
      <c r="I97" s="2">
        <f t="shared" si="24"/>
        <v>35790</v>
      </c>
      <c r="J97" s="24">
        <f t="shared" ca="1" si="25"/>
        <v>28</v>
      </c>
      <c r="K97" s="24" t="str">
        <f t="shared" ca="1" si="26"/>
        <v>19-30 Group</v>
      </c>
      <c r="L97" s="1" t="s">
        <v>22</v>
      </c>
      <c r="M97" s="1" t="str">
        <f t="shared" si="27"/>
        <v>Alex Davis</v>
      </c>
      <c r="N97" s="1" t="str">
        <f t="shared" si="28"/>
        <v>Pediatrics</v>
      </c>
      <c r="O97" s="24">
        <f t="shared" si="29"/>
        <v>23</v>
      </c>
      <c r="P97" s="14" t="str">
        <f t="shared" si="30"/>
        <v>Central</v>
      </c>
      <c r="Q97" s="1" t="str">
        <f t="shared" si="31"/>
        <v>Hospital</v>
      </c>
      <c r="R97" s="17"/>
    </row>
    <row r="98" spans="1:18" x14ac:dyDescent="0.25">
      <c r="A98" s="1" t="s">
        <v>200</v>
      </c>
      <c r="B98" s="2">
        <v>45163</v>
      </c>
      <c r="C98" s="4">
        <v>0.39583333333333331</v>
      </c>
      <c r="D98" s="1" t="s">
        <v>29</v>
      </c>
      <c r="E98" s="1" t="s">
        <v>19</v>
      </c>
      <c r="F98" s="1" t="s">
        <v>70</v>
      </c>
      <c r="G98" s="1" t="str">
        <f t="shared" ref="G98:G129" si="32">VLOOKUP(F98,$CX$1:$DI$51,12,FALSE)</f>
        <v>Emily Moore</v>
      </c>
      <c r="H98" s="1" t="str">
        <f t="shared" ref="H98:H129" si="33">VLOOKUP(F98,$CX$1:$DI$51,4,FALSE)</f>
        <v>M</v>
      </c>
      <c r="I98" s="2">
        <f t="shared" ref="I98:I129" si="34">VLOOKUP(F98,$CX$1:$DI$51,5,FALSE)</f>
        <v>23734</v>
      </c>
      <c r="J98" s="24">
        <f t="shared" ref="J98:J129" ca="1" si="35">DATEDIF(I98,TODAY(),"Y")</f>
        <v>61</v>
      </c>
      <c r="K98" s="24" t="str">
        <f t="shared" ref="K98:K129" ca="1" si="36">_xlfn.IFS(J98&lt;=18,"0-18 Group",J98&lt;=30,"19-30 Group",J98&lt;=45,"31-45 Group",J98&lt;=60,"46-60 Group",J98&gt;60,"60+ ")</f>
        <v xml:space="preserve">60+ </v>
      </c>
      <c r="L98" s="1" t="s">
        <v>22</v>
      </c>
      <c r="M98" s="1" t="str">
        <f t="shared" ref="M98:M129" si="37">VLOOKUP(L98,$CL$1:$CU$11,10,FALSE)</f>
        <v>Alex Davis</v>
      </c>
      <c r="N98" s="1" t="str">
        <f t="shared" ref="N98:N129" si="38">VLOOKUP(L98,$CL$1:$CU$11,4,FALSE)</f>
        <v>Pediatrics</v>
      </c>
      <c r="O98" s="24">
        <f t="shared" ref="O98:O129" si="39">VLOOKUP(L98,$CL$1:$CU$11,6,FALSE)</f>
        <v>23</v>
      </c>
      <c r="P98" s="14" t="str">
        <f t="shared" ref="P98:P129" si="40">VLOOKUP(L98,$CL$1:$CU$11,7,FALSE)</f>
        <v>Central</v>
      </c>
      <c r="Q98" s="1" t="str">
        <f t="shared" ref="Q98:Q129" si="41">VLOOKUP(L98,$CL$1:$CU$11,8,FALSE)</f>
        <v>Hospital</v>
      </c>
      <c r="R98" s="17"/>
    </row>
    <row r="99" spans="1:18" x14ac:dyDescent="0.25">
      <c r="A99" s="1" t="s">
        <v>201</v>
      </c>
      <c r="B99" s="2">
        <v>44980</v>
      </c>
      <c r="C99" s="4">
        <v>0.625</v>
      </c>
      <c r="D99" s="1" t="s">
        <v>26</v>
      </c>
      <c r="E99" s="1" t="s">
        <v>15</v>
      </c>
      <c r="F99" s="1" t="s">
        <v>151</v>
      </c>
      <c r="G99" s="1" t="str">
        <f t="shared" si="32"/>
        <v>Jane Jones</v>
      </c>
      <c r="H99" s="1" t="str">
        <f t="shared" si="33"/>
        <v>M</v>
      </c>
      <c r="I99" s="2">
        <f t="shared" si="34"/>
        <v>33359</v>
      </c>
      <c r="J99" s="24">
        <f t="shared" ca="1" si="35"/>
        <v>35</v>
      </c>
      <c r="K99" s="24" t="str">
        <f t="shared" ca="1" si="36"/>
        <v>31-45 Group</v>
      </c>
      <c r="L99" s="1" t="s">
        <v>22</v>
      </c>
      <c r="M99" s="1" t="str">
        <f t="shared" si="37"/>
        <v>Alex Davis</v>
      </c>
      <c r="N99" s="1" t="str">
        <f t="shared" si="38"/>
        <v>Pediatrics</v>
      </c>
      <c r="O99" s="24">
        <f t="shared" si="39"/>
        <v>23</v>
      </c>
      <c r="P99" s="14" t="str">
        <f t="shared" si="40"/>
        <v>Central</v>
      </c>
      <c r="Q99" s="1" t="str">
        <f t="shared" si="41"/>
        <v>Hospital</v>
      </c>
      <c r="R99" s="17"/>
    </row>
    <row r="100" spans="1:18" x14ac:dyDescent="0.25">
      <c r="A100" s="1" t="s">
        <v>205</v>
      </c>
      <c r="B100" s="2">
        <v>45216</v>
      </c>
      <c r="C100" s="4">
        <v>0.63541666666666663</v>
      </c>
      <c r="D100" s="1" t="s">
        <v>18</v>
      </c>
      <c r="E100" s="1" t="s">
        <v>11</v>
      </c>
      <c r="F100" s="1" t="s">
        <v>21</v>
      </c>
      <c r="G100" s="1" t="str">
        <f t="shared" si="32"/>
        <v>Robert Wilson</v>
      </c>
      <c r="H100" s="1" t="str">
        <f t="shared" si="33"/>
        <v>M</v>
      </c>
      <c r="I100" s="2">
        <f t="shared" si="34"/>
        <v>24333</v>
      </c>
      <c r="J100" s="24">
        <f t="shared" ca="1" si="35"/>
        <v>60</v>
      </c>
      <c r="K100" s="24" t="str">
        <f t="shared" ca="1" si="36"/>
        <v>46-60 Group</v>
      </c>
      <c r="L100" s="1" t="s">
        <v>22</v>
      </c>
      <c r="M100" s="1" t="str">
        <f t="shared" si="37"/>
        <v>Alex Davis</v>
      </c>
      <c r="N100" s="1" t="str">
        <f t="shared" si="38"/>
        <v>Pediatrics</v>
      </c>
      <c r="O100" s="24">
        <f t="shared" si="39"/>
        <v>23</v>
      </c>
      <c r="P100" s="14" t="str">
        <f t="shared" si="40"/>
        <v>Central</v>
      </c>
      <c r="Q100" s="1" t="str">
        <f t="shared" si="41"/>
        <v>Hospital</v>
      </c>
      <c r="R100" s="17"/>
    </row>
    <row r="101" spans="1:18" x14ac:dyDescent="0.25">
      <c r="A101" s="1" t="s">
        <v>215</v>
      </c>
      <c r="B101" s="2">
        <v>45154</v>
      </c>
      <c r="C101" s="4">
        <v>0.51041666666666663</v>
      </c>
      <c r="D101" s="1" t="s">
        <v>29</v>
      </c>
      <c r="E101" s="1" t="s">
        <v>15</v>
      </c>
      <c r="F101" s="1" t="s">
        <v>177</v>
      </c>
      <c r="G101" s="1" t="str">
        <f t="shared" si="32"/>
        <v>Laura Davis</v>
      </c>
      <c r="H101" s="1" t="str">
        <f t="shared" si="33"/>
        <v>M</v>
      </c>
      <c r="I101" s="2">
        <f t="shared" si="34"/>
        <v>26278</v>
      </c>
      <c r="J101" s="24">
        <f t="shared" ca="1" si="35"/>
        <v>54</v>
      </c>
      <c r="K101" s="24" t="str">
        <f t="shared" ca="1" si="36"/>
        <v>46-60 Group</v>
      </c>
      <c r="L101" s="1" t="s">
        <v>22</v>
      </c>
      <c r="M101" s="1" t="str">
        <f t="shared" si="37"/>
        <v>Alex Davis</v>
      </c>
      <c r="N101" s="1" t="str">
        <f t="shared" si="38"/>
        <v>Pediatrics</v>
      </c>
      <c r="O101" s="24">
        <f t="shared" si="39"/>
        <v>23</v>
      </c>
      <c r="P101" s="14" t="str">
        <f t="shared" si="40"/>
        <v>Central</v>
      </c>
      <c r="Q101" s="1" t="str">
        <f t="shared" si="41"/>
        <v>Hospital</v>
      </c>
      <c r="R101" s="17"/>
    </row>
    <row r="102" spans="1:18" x14ac:dyDescent="0.25">
      <c r="A102" s="1" t="s">
        <v>217</v>
      </c>
      <c r="B102" s="2">
        <v>44931</v>
      </c>
      <c r="C102" s="4">
        <v>0.39583333333333331</v>
      </c>
      <c r="D102" s="1" t="s">
        <v>26</v>
      </c>
      <c r="E102" s="1" t="s">
        <v>15</v>
      </c>
      <c r="F102" s="1" t="s">
        <v>63</v>
      </c>
      <c r="G102" s="1" t="str">
        <f t="shared" si="32"/>
        <v>Alex Moore</v>
      </c>
      <c r="H102" s="1" t="str">
        <f t="shared" si="33"/>
        <v>M</v>
      </c>
      <c r="I102" s="2">
        <f t="shared" si="34"/>
        <v>34072</v>
      </c>
      <c r="J102" s="24">
        <f t="shared" ca="1" si="35"/>
        <v>33</v>
      </c>
      <c r="K102" s="24" t="str">
        <f t="shared" ca="1" si="36"/>
        <v>31-45 Group</v>
      </c>
      <c r="L102" s="1" t="s">
        <v>22</v>
      </c>
      <c r="M102" s="1" t="str">
        <f t="shared" si="37"/>
        <v>Alex Davis</v>
      </c>
      <c r="N102" s="1" t="str">
        <f t="shared" si="38"/>
        <v>Pediatrics</v>
      </c>
      <c r="O102" s="24">
        <f t="shared" si="39"/>
        <v>23</v>
      </c>
      <c r="P102" s="14" t="str">
        <f t="shared" si="40"/>
        <v>Central</v>
      </c>
      <c r="Q102" s="1" t="str">
        <f t="shared" si="41"/>
        <v>Hospital</v>
      </c>
      <c r="R102" s="17"/>
    </row>
    <row r="103" spans="1:18" x14ac:dyDescent="0.25">
      <c r="A103" s="1" t="s">
        <v>225</v>
      </c>
      <c r="B103" s="2">
        <v>44991</v>
      </c>
      <c r="C103" s="4">
        <v>0.72916666666666663</v>
      </c>
      <c r="D103" s="1" t="s">
        <v>26</v>
      </c>
      <c r="E103" s="1" t="s">
        <v>15</v>
      </c>
      <c r="F103" s="1" t="s">
        <v>50</v>
      </c>
      <c r="G103" s="1" t="str">
        <f t="shared" si="32"/>
        <v>Laura Davis</v>
      </c>
      <c r="H103" s="1" t="str">
        <f t="shared" si="33"/>
        <v>F</v>
      </c>
      <c r="I103" s="2">
        <f t="shared" si="34"/>
        <v>33580</v>
      </c>
      <c r="J103" s="24">
        <f t="shared" ca="1" si="35"/>
        <v>34</v>
      </c>
      <c r="K103" s="24" t="str">
        <f t="shared" ca="1" si="36"/>
        <v>31-45 Group</v>
      </c>
      <c r="L103" s="1" t="s">
        <v>22</v>
      </c>
      <c r="M103" s="1" t="str">
        <f t="shared" si="37"/>
        <v>Alex Davis</v>
      </c>
      <c r="N103" s="1" t="str">
        <f t="shared" si="38"/>
        <v>Pediatrics</v>
      </c>
      <c r="O103" s="24">
        <f t="shared" si="39"/>
        <v>23</v>
      </c>
      <c r="P103" s="14" t="str">
        <f t="shared" si="40"/>
        <v>Central</v>
      </c>
      <c r="Q103" s="1" t="str">
        <f t="shared" si="41"/>
        <v>Hospital</v>
      </c>
      <c r="R103" s="17"/>
    </row>
    <row r="104" spans="1:18" x14ac:dyDescent="0.25">
      <c r="A104" s="1" t="s">
        <v>244</v>
      </c>
      <c r="B104" s="2">
        <v>44994</v>
      </c>
      <c r="C104" s="4">
        <v>0.67708333333333337</v>
      </c>
      <c r="D104" s="1" t="s">
        <v>29</v>
      </c>
      <c r="E104" s="1" t="s">
        <v>11</v>
      </c>
      <c r="F104" s="1" t="s">
        <v>185</v>
      </c>
      <c r="G104" s="1" t="str">
        <f t="shared" si="32"/>
        <v>Laura Wilson</v>
      </c>
      <c r="H104" s="1" t="str">
        <f t="shared" si="33"/>
        <v>M</v>
      </c>
      <c r="I104" s="2">
        <f t="shared" si="34"/>
        <v>29122</v>
      </c>
      <c r="J104" s="24">
        <f t="shared" ca="1" si="35"/>
        <v>46</v>
      </c>
      <c r="K104" s="24" t="str">
        <f t="shared" ca="1" si="36"/>
        <v>46-60 Group</v>
      </c>
      <c r="L104" s="1" t="s">
        <v>22</v>
      </c>
      <c r="M104" s="1" t="str">
        <f t="shared" si="37"/>
        <v>Alex Davis</v>
      </c>
      <c r="N104" s="1" t="str">
        <f t="shared" si="38"/>
        <v>Pediatrics</v>
      </c>
      <c r="O104" s="24">
        <f t="shared" si="39"/>
        <v>23</v>
      </c>
      <c r="P104" s="14" t="str">
        <f t="shared" si="40"/>
        <v>Central</v>
      </c>
      <c r="Q104" s="1" t="str">
        <f t="shared" si="41"/>
        <v>Hospital</v>
      </c>
      <c r="R104" s="17"/>
    </row>
    <row r="105" spans="1:18" x14ac:dyDescent="0.25">
      <c r="A105" s="1" t="s">
        <v>251</v>
      </c>
      <c r="B105" s="2">
        <v>44993</v>
      </c>
      <c r="C105" s="4">
        <v>0.51041666666666663</v>
      </c>
      <c r="D105" s="1" t="s">
        <v>29</v>
      </c>
      <c r="E105" s="1" t="s">
        <v>41</v>
      </c>
      <c r="F105" s="1" t="s">
        <v>252</v>
      </c>
      <c r="G105" s="1" t="str">
        <f t="shared" si="32"/>
        <v>David Smith</v>
      </c>
      <c r="H105" s="1" t="str">
        <f t="shared" si="33"/>
        <v>M</v>
      </c>
      <c r="I105" s="2">
        <f t="shared" si="34"/>
        <v>33414</v>
      </c>
      <c r="J105" s="24">
        <f t="shared" ca="1" si="35"/>
        <v>35</v>
      </c>
      <c r="K105" s="24" t="str">
        <f t="shared" ca="1" si="36"/>
        <v>31-45 Group</v>
      </c>
      <c r="L105" s="1" t="s">
        <v>22</v>
      </c>
      <c r="M105" s="1" t="str">
        <f t="shared" si="37"/>
        <v>Alex Davis</v>
      </c>
      <c r="N105" s="1" t="str">
        <f t="shared" si="38"/>
        <v>Pediatrics</v>
      </c>
      <c r="O105" s="24">
        <f t="shared" si="39"/>
        <v>23</v>
      </c>
      <c r="P105" s="14" t="str">
        <f t="shared" si="40"/>
        <v>Central</v>
      </c>
      <c r="Q105" s="1" t="str">
        <f t="shared" si="41"/>
        <v>Hospital</v>
      </c>
      <c r="R105" s="17"/>
    </row>
    <row r="106" spans="1:18" x14ac:dyDescent="0.25">
      <c r="A106" s="1" t="s">
        <v>269</v>
      </c>
      <c r="B106" s="2">
        <v>45225</v>
      </c>
      <c r="C106" s="4">
        <v>0.40625</v>
      </c>
      <c r="D106" s="1" t="s">
        <v>29</v>
      </c>
      <c r="E106" s="1" t="s">
        <v>19</v>
      </c>
      <c r="F106" s="1" t="s">
        <v>28</v>
      </c>
      <c r="G106" s="1" t="str">
        <f t="shared" si="32"/>
        <v>Linda Miller</v>
      </c>
      <c r="H106" s="1" t="str">
        <f t="shared" si="33"/>
        <v>F</v>
      </c>
      <c r="I106" s="2">
        <f t="shared" si="34"/>
        <v>24222</v>
      </c>
      <c r="J106" s="24">
        <f t="shared" ca="1" si="35"/>
        <v>60</v>
      </c>
      <c r="K106" s="24" t="str">
        <f t="shared" ca="1" si="36"/>
        <v>46-60 Group</v>
      </c>
      <c r="L106" s="1" t="s">
        <v>22</v>
      </c>
      <c r="M106" s="1" t="str">
        <f t="shared" si="37"/>
        <v>Alex Davis</v>
      </c>
      <c r="N106" s="1" t="str">
        <f t="shared" si="38"/>
        <v>Pediatrics</v>
      </c>
      <c r="O106" s="24">
        <f t="shared" si="39"/>
        <v>23</v>
      </c>
      <c r="P106" s="14" t="str">
        <f t="shared" si="40"/>
        <v>Central</v>
      </c>
      <c r="Q106" s="1" t="str">
        <f t="shared" si="41"/>
        <v>Hospital</v>
      </c>
      <c r="R106" s="17"/>
    </row>
    <row r="107" spans="1:18" x14ac:dyDescent="0.25">
      <c r="A107" s="1" t="s">
        <v>271</v>
      </c>
      <c r="B107" s="2">
        <v>45061</v>
      </c>
      <c r="C107" s="4">
        <v>0.35416666666666669</v>
      </c>
      <c r="D107" s="1" t="s">
        <v>10</v>
      </c>
      <c r="E107" s="1" t="s">
        <v>15</v>
      </c>
      <c r="F107" s="1" t="s">
        <v>43</v>
      </c>
      <c r="G107" s="1" t="str">
        <f t="shared" si="32"/>
        <v>John Brown</v>
      </c>
      <c r="H107" s="1" t="str">
        <f t="shared" si="33"/>
        <v>M</v>
      </c>
      <c r="I107" s="2">
        <f t="shared" si="34"/>
        <v>20219</v>
      </c>
      <c r="J107" s="24">
        <f t="shared" ca="1" si="35"/>
        <v>71</v>
      </c>
      <c r="K107" s="24" t="str">
        <f t="shared" ca="1" si="36"/>
        <v xml:space="preserve">60+ </v>
      </c>
      <c r="L107" s="1" t="s">
        <v>22</v>
      </c>
      <c r="M107" s="1" t="str">
        <f t="shared" si="37"/>
        <v>Alex Davis</v>
      </c>
      <c r="N107" s="1" t="str">
        <f t="shared" si="38"/>
        <v>Pediatrics</v>
      </c>
      <c r="O107" s="24">
        <f t="shared" si="39"/>
        <v>23</v>
      </c>
      <c r="P107" s="14" t="str">
        <f t="shared" si="40"/>
        <v>Central</v>
      </c>
      <c r="Q107" s="1" t="str">
        <f t="shared" si="41"/>
        <v>Hospital</v>
      </c>
      <c r="R107" s="17"/>
    </row>
    <row r="108" spans="1:18" x14ac:dyDescent="0.25">
      <c r="A108" s="1" t="s">
        <v>46</v>
      </c>
      <c r="B108" s="2">
        <v>45154</v>
      </c>
      <c r="C108" s="4">
        <v>0.5</v>
      </c>
      <c r="D108" s="1" t="s">
        <v>26</v>
      </c>
      <c r="E108" s="1" t="s">
        <v>11</v>
      </c>
      <c r="F108" s="1" t="s">
        <v>47</v>
      </c>
      <c r="G108" s="1" t="str">
        <f t="shared" si="32"/>
        <v>Laura Jones</v>
      </c>
      <c r="H108" s="1" t="str">
        <f t="shared" si="33"/>
        <v>M</v>
      </c>
      <c r="I108" s="2">
        <f t="shared" si="34"/>
        <v>28358</v>
      </c>
      <c r="J108" s="24">
        <f t="shared" ca="1" si="35"/>
        <v>49</v>
      </c>
      <c r="K108" s="24" t="str">
        <f t="shared" ca="1" si="36"/>
        <v>46-60 Group</v>
      </c>
      <c r="L108" s="1" t="s">
        <v>48</v>
      </c>
      <c r="M108" s="1" t="str">
        <f t="shared" si="37"/>
        <v>Jane Davis</v>
      </c>
      <c r="N108" s="1" t="str">
        <f t="shared" si="38"/>
        <v>Pediatrics</v>
      </c>
      <c r="O108" s="24">
        <f t="shared" si="39"/>
        <v>24</v>
      </c>
      <c r="P108" s="14" t="str">
        <f t="shared" si="40"/>
        <v>Eastside</v>
      </c>
      <c r="Q108" s="1" t="str">
        <f t="shared" si="41"/>
        <v>Clinic</v>
      </c>
      <c r="R108" s="17"/>
    </row>
    <row r="109" spans="1:18" x14ac:dyDescent="0.25">
      <c r="A109" s="1" t="s">
        <v>89</v>
      </c>
      <c r="B109" s="2">
        <v>45033</v>
      </c>
      <c r="C109" s="4">
        <v>0.33333333333333331</v>
      </c>
      <c r="D109" s="1" t="s">
        <v>38</v>
      </c>
      <c r="E109" s="1" t="s">
        <v>11</v>
      </c>
      <c r="F109" s="1" t="s">
        <v>90</v>
      </c>
      <c r="G109" s="1" t="str">
        <f t="shared" si="32"/>
        <v>Linda Johnson</v>
      </c>
      <c r="H109" s="1" t="str">
        <f t="shared" si="33"/>
        <v>M</v>
      </c>
      <c r="I109" s="2">
        <f t="shared" si="34"/>
        <v>34387</v>
      </c>
      <c r="J109" s="24">
        <f t="shared" ca="1" si="35"/>
        <v>32</v>
      </c>
      <c r="K109" s="24" t="str">
        <f t="shared" ca="1" si="36"/>
        <v>31-45 Group</v>
      </c>
      <c r="L109" s="1" t="s">
        <v>48</v>
      </c>
      <c r="M109" s="1" t="str">
        <f t="shared" si="37"/>
        <v>Jane Davis</v>
      </c>
      <c r="N109" s="1" t="str">
        <f t="shared" si="38"/>
        <v>Pediatrics</v>
      </c>
      <c r="O109" s="24">
        <f t="shared" si="39"/>
        <v>24</v>
      </c>
      <c r="P109" s="14" t="str">
        <f t="shared" si="40"/>
        <v>Eastside</v>
      </c>
      <c r="Q109" s="1" t="str">
        <f t="shared" si="41"/>
        <v>Clinic</v>
      </c>
      <c r="R109" s="17"/>
    </row>
    <row r="110" spans="1:18" x14ac:dyDescent="0.25">
      <c r="A110" s="1" t="s">
        <v>118</v>
      </c>
      <c r="B110" s="2">
        <v>45252</v>
      </c>
      <c r="C110" s="4">
        <v>0.71875</v>
      </c>
      <c r="D110" s="1" t="s">
        <v>29</v>
      </c>
      <c r="E110" s="1" t="s">
        <v>15</v>
      </c>
      <c r="F110" s="1" t="s">
        <v>119</v>
      </c>
      <c r="G110" s="1" t="str">
        <f t="shared" si="32"/>
        <v>Jane Moore</v>
      </c>
      <c r="H110" s="1" t="str">
        <f t="shared" si="33"/>
        <v>F</v>
      </c>
      <c r="I110" s="2">
        <f t="shared" si="34"/>
        <v>37778</v>
      </c>
      <c r="J110" s="24">
        <f t="shared" ca="1" si="35"/>
        <v>23</v>
      </c>
      <c r="K110" s="24" t="str">
        <f t="shared" ca="1" si="36"/>
        <v>19-30 Group</v>
      </c>
      <c r="L110" s="1" t="s">
        <v>48</v>
      </c>
      <c r="M110" s="1" t="str">
        <f t="shared" si="37"/>
        <v>Jane Davis</v>
      </c>
      <c r="N110" s="1" t="str">
        <f t="shared" si="38"/>
        <v>Pediatrics</v>
      </c>
      <c r="O110" s="24">
        <f t="shared" si="39"/>
        <v>24</v>
      </c>
      <c r="P110" s="14" t="str">
        <f t="shared" si="40"/>
        <v>Eastside</v>
      </c>
      <c r="Q110" s="1" t="str">
        <f t="shared" si="41"/>
        <v>Clinic</v>
      </c>
      <c r="R110" s="17"/>
    </row>
    <row r="111" spans="1:18" x14ac:dyDescent="0.25">
      <c r="A111" s="1" t="s">
        <v>134</v>
      </c>
      <c r="B111" s="2">
        <v>45089</v>
      </c>
      <c r="C111" s="4">
        <v>0.5625</v>
      </c>
      <c r="D111" s="1" t="s">
        <v>29</v>
      </c>
      <c r="E111" s="1" t="s">
        <v>11</v>
      </c>
      <c r="F111" s="1" t="s">
        <v>86</v>
      </c>
      <c r="G111" s="1" t="str">
        <f t="shared" si="32"/>
        <v>Michael Wilson</v>
      </c>
      <c r="H111" s="1" t="str">
        <f t="shared" si="33"/>
        <v>F</v>
      </c>
      <c r="I111" s="2">
        <f t="shared" si="34"/>
        <v>25605</v>
      </c>
      <c r="J111" s="24">
        <f t="shared" ca="1" si="35"/>
        <v>56</v>
      </c>
      <c r="K111" s="24" t="str">
        <f t="shared" ca="1" si="36"/>
        <v>46-60 Group</v>
      </c>
      <c r="L111" s="1" t="s">
        <v>48</v>
      </c>
      <c r="M111" s="1" t="str">
        <f t="shared" si="37"/>
        <v>Jane Davis</v>
      </c>
      <c r="N111" s="1" t="str">
        <f t="shared" si="38"/>
        <v>Pediatrics</v>
      </c>
      <c r="O111" s="24">
        <f t="shared" si="39"/>
        <v>24</v>
      </c>
      <c r="P111" s="14" t="str">
        <f t="shared" si="40"/>
        <v>Eastside</v>
      </c>
      <c r="Q111" s="1" t="str">
        <f t="shared" si="41"/>
        <v>Clinic</v>
      </c>
      <c r="R111" s="17"/>
    </row>
    <row r="112" spans="1:18" x14ac:dyDescent="0.25">
      <c r="A112" s="1" t="s">
        <v>138</v>
      </c>
      <c r="B112" s="2">
        <v>45257</v>
      </c>
      <c r="C112" s="4">
        <v>0.5</v>
      </c>
      <c r="D112" s="1" t="s">
        <v>10</v>
      </c>
      <c r="E112" s="1" t="s">
        <v>19</v>
      </c>
      <c r="F112" s="1" t="s">
        <v>139</v>
      </c>
      <c r="G112" s="1" t="str">
        <f t="shared" si="32"/>
        <v>Robert Taylor</v>
      </c>
      <c r="H112" s="1" t="str">
        <f t="shared" si="33"/>
        <v>F</v>
      </c>
      <c r="I112" s="2">
        <f t="shared" si="34"/>
        <v>27830</v>
      </c>
      <c r="J112" s="24">
        <f t="shared" ca="1" si="35"/>
        <v>50</v>
      </c>
      <c r="K112" s="24" t="str">
        <f t="shared" ca="1" si="36"/>
        <v>46-60 Group</v>
      </c>
      <c r="L112" s="1" t="s">
        <v>48</v>
      </c>
      <c r="M112" s="1" t="str">
        <f t="shared" si="37"/>
        <v>Jane Davis</v>
      </c>
      <c r="N112" s="1" t="str">
        <f t="shared" si="38"/>
        <v>Pediatrics</v>
      </c>
      <c r="O112" s="24">
        <f t="shared" si="39"/>
        <v>24</v>
      </c>
      <c r="P112" s="14" t="str">
        <f t="shared" si="40"/>
        <v>Eastside</v>
      </c>
      <c r="Q112" s="1" t="str">
        <f t="shared" si="41"/>
        <v>Clinic</v>
      </c>
      <c r="R112" s="17"/>
    </row>
    <row r="113" spans="1:18" x14ac:dyDescent="0.25">
      <c r="A113" s="1" t="s">
        <v>143</v>
      </c>
      <c r="B113" s="2">
        <v>45286</v>
      </c>
      <c r="C113" s="4">
        <v>0.58333333333333337</v>
      </c>
      <c r="D113" s="1" t="s">
        <v>38</v>
      </c>
      <c r="E113" s="1" t="s">
        <v>19</v>
      </c>
      <c r="F113" s="1" t="s">
        <v>50</v>
      </c>
      <c r="G113" s="1" t="str">
        <f t="shared" si="32"/>
        <v>Laura Davis</v>
      </c>
      <c r="H113" s="1" t="str">
        <f t="shared" si="33"/>
        <v>F</v>
      </c>
      <c r="I113" s="2">
        <f t="shared" si="34"/>
        <v>33580</v>
      </c>
      <c r="J113" s="24">
        <f t="shared" ca="1" si="35"/>
        <v>34</v>
      </c>
      <c r="K113" s="24" t="str">
        <f t="shared" ca="1" si="36"/>
        <v>31-45 Group</v>
      </c>
      <c r="L113" s="1" t="s">
        <v>48</v>
      </c>
      <c r="M113" s="1" t="str">
        <f t="shared" si="37"/>
        <v>Jane Davis</v>
      </c>
      <c r="N113" s="1" t="str">
        <f t="shared" si="38"/>
        <v>Pediatrics</v>
      </c>
      <c r="O113" s="24">
        <f t="shared" si="39"/>
        <v>24</v>
      </c>
      <c r="P113" s="14" t="str">
        <f t="shared" si="40"/>
        <v>Eastside</v>
      </c>
      <c r="Q113" s="1" t="str">
        <f t="shared" si="41"/>
        <v>Clinic</v>
      </c>
      <c r="R113" s="17"/>
    </row>
    <row r="114" spans="1:18" x14ac:dyDescent="0.25">
      <c r="A114" s="1" t="s">
        <v>150</v>
      </c>
      <c r="B114" s="2">
        <v>45228</v>
      </c>
      <c r="C114" s="4">
        <v>0.45833333333333331</v>
      </c>
      <c r="D114" s="1" t="s">
        <v>18</v>
      </c>
      <c r="E114" s="1" t="s">
        <v>19</v>
      </c>
      <c r="F114" s="1" t="s">
        <v>151</v>
      </c>
      <c r="G114" s="1" t="str">
        <f t="shared" si="32"/>
        <v>Jane Jones</v>
      </c>
      <c r="H114" s="1" t="str">
        <f t="shared" si="33"/>
        <v>M</v>
      </c>
      <c r="I114" s="2">
        <f t="shared" si="34"/>
        <v>33359</v>
      </c>
      <c r="J114" s="24">
        <f t="shared" ca="1" si="35"/>
        <v>35</v>
      </c>
      <c r="K114" s="24" t="str">
        <f t="shared" ca="1" si="36"/>
        <v>31-45 Group</v>
      </c>
      <c r="L114" s="1" t="s">
        <v>48</v>
      </c>
      <c r="M114" s="1" t="str">
        <f t="shared" si="37"/>
        <v>Jane Davis</v>
      </c>
      <c r="N114" s="1" t="str">
        <f t="shared" si="38"/>
        <v>Pediatrics</v>
      </c>
      <c r="O114" s="24">
        <f t="shared" si="39"/>
        <v>24</v>
      </c>
      <c r="P114" s="14" t="str">
        <f t="shared" si="40"/>
        <v>Eastside</v>
      </c>
      <c r="Q114" s="1" t="str">
        <f t="shared" si="41"/>
        <v>Clinic</v>
      </c>
      <c r="R114" s="17"/>
    </row>
    <row r="115" spans="1:18" x14ac:dyDescent="0.25">
      <c r="A115" s="1" t="s">
        <v>160</v>
      </c>
      <c r="B115" s="2">
        <v>45024</v>
      </c>
      <c r="C115" s="4">
        <v>0.36458333333333331</v>
      </c>
      <c r="D115" s="1" t="s">
        <v>18</v>
      </c>
      <c r="E115" s="1" t="s">
        <v>19</v>
      </c>
      <c r="F115" s="1" t="s">
        <v>161</v>
      </c>
      <c r="G115" s="1" t="str">
        <f t="shared" si="32"/>
        <v>Robert Williams</v>
      </c>
      <c r="H115" s="1" t="str">
        <f t="shared" si="33"/>
        <v>M</v>
      </c>
      <c r="I115" s="2">
        <f t="shared" si="34"/>
        <v>18798</v>
      </c>
      <c r="J115" s="24">
        <f t="shared" ca="1" si="35"/>
        <v>75</v>
      </c>
      <c r="K115" s="24" t="str">
        <f t="shared" ca="1" si="36"/>
        <v xml:space="preserve">60+ </v>
      </c>
      <c r="L115" s="1" t="s">
        <v>48</v>
      </c>
      <c r="M115" s="1" t="str">
        <f t="shared" si="37"/>
        <v>Jane Davis</v>
      </c>
      <c r="N115" s="1" t="str">
        <f t="shared" si="38"/>
        <v>Pediatrics</v>
      </c>
      <c r="O115" s="24">
        <f t="shared" si="39"/>
        <v>24</v>
      </c>
      <c r="P115" s="14" t="str">
        <f t="shared" si="40"/>
        <v>Eastside</v>
      </c>
      <c r="Q115" s="1" t="str">
        <f t="shared" si="41"/>
        <v>Clinic</v>
      </c>
      <c r="R115" s="17"/>
    </row>
    <row r="116" spans="1:18" x14ac:dyDescent="0.25">
      <c r="A116" s="1" t="s">
        <v>194</v>
      </c>
      <c r="B116" s="2">
        <v>44985</v>
      </c>
      <c r="C116" s="4">
        <v>0.44791666666666669</v>
      </c>
      <c r="D116" s="1" t="s">
        <v>10</v>
      </c>
      <c r="E116" s="1" t="s">
        <v>41</v>
      </c>
      <c r="F116" s="1" t="s">
        <v>68</v>
      </c>
      <c r="G116" s="1" t="str">
        <f t="shared" si="32"/>
        <v>David Moore</v>
      </c>
      <c r="H116" s="1" t="str">
        <f t="shared" si="33"/>
        <v>M</v>
      </c>
      <c r="I116" s="2">
        <f t="shared" si="34"/>
        <v>26629</v>
      </c>
      <c r="J116" s="24">
        <f t="shared" ca="1" si="35"/>
        <v>53</v>
      </c>
      <c r="K116" s="24" t="str">
        <f t="shared" ca="1" si="36"/>
        <v>46-60 Group</v>
      </c>
      <c r="L116" s="1" t="s">
        <v>48</v>
      </c>
      <c r="M116" s="1" t="str">
        <f t="shared" si="37"/>
        <v>Jane Davis</v>
      </c>
      <c r="N116" s="1" t="str">
        <f t="shared" si="38"/>
        <v>Pediatrics</v>
      </c>
      <c r="O116" s="24">
        <f t="shared" si="39"/>
        <v>24</v>
      </c>
      <c r="P116" s="14" t="str">
        <f t="shared" si="40"/>
        <v>Eastside</v>
      </c>
      <c r="Q116" s="1" t="str">
        <f t="shared" si="41"/>
        <v>Clinic</v>
      </c>
      <c r="R116" s="17"/>
    </row>
    <row r="117" spans="1:18" x14ac:dyDescent="0.25">
      <c r="A117" s="1" t="s">
        <v>199</v>
      </c>
      <c r="B117" s="2">
        <v>45031</v>
      </c>
      <c r="C117" s="4">
        <v>0.61458333333333337</v>
      </c>
      <c r="D117" s="1" t="s">
        <v>38</v>
      </c>
      <c r="E117" s="1" t="s">
        <v>41</v>
      </c>
      <c r="F117" s="1" t="s">
        <v>161</v>
      </c>
      <c r="G117" s="1" t="str">
        <f t="shared" si="32"/>
        <v>Robert Williams</v>
      </c>
      <c r="H117" s="1" t="str">
        <f t="shared" si="33"/>
        <v>M</v>
      </c>
      <c r="I117" s="2">
        <f t="shared" si="34"/>
        <v>18798</v>
      </c>
      <c r="J117" s="24">
        <f t="shared" ca="1" si="35"/>
        <v>75</v>
      </c>
      <c r="K117" s="24" t="str">
        <f t="shared" ca="1" si="36"/>
        <v xml:space="preserve">60+ </v>
      </c>
      <c r="L117" s="1" t="s">
        <v>48</v>
      </c>
      <c r="M117" s="1" t="str">
        <f t="shared" si="37"/>
        <v>Jane Davis</v>
      </c>
      <c r="N117" s="1" t="str">
        <f t="shared" si="38"/>
        <v>Pediatrics</v>
      </c>
      <c r="O117" s="24">
        <f t="shared" si="39"/>
        <v>24</v>
      </c>
      <c r="P117" s="14" t="str">
        <f t="shared" si="40"/>
        <v>Eastside</v>
      </c>
      <c r="Q117" s="1" t="str">
        <f t="shared" si="41"/>
        <v>Clinic</v>
      </c>
      <c r="R117" s="17"/>
    </row>
    <row r="118" spans="1:18" x14ac:dyDescent="0.25">
      <c r="A118" s="1" t="s">
        <v>203</v>
      </c>
      <c r="B118" s="2">
        <v>45133</v>
      </c>
      <c r="C118" s="4">
        <v>0.44791666666666669</v>
      </c>
      <c r="D118" s="1" t="s">
        <v>29</v>
      </c>
      <c r="E118" s="1" t="s">
        <v>19</v>
      </c>
      <c r="F118" s="1" t="s">
        <v>119</v>
      </c>
      <c r="G118" s="1" t="str">
        <f t="shared" si="32"/>
        <v>Jane Moore</v>
      </c>
      <c r="H118" s="1" t="str">
        <f t="shared" si="33"/>
        <v>F</v>
      </c>
      <c r="I118" s="2">
        <f t="shared" si="34"/>
        <v>37778</v>
      </c>
      <c r="J118" s="24">
        <f t="shared" ca="1" si="35"/>
        <v>23</v>
      </c>
      <c r="K118" s="24" t="str">
        <f t="shared" ca="1" si="36"/>
        <v>19-30 Group</v>
      </c>
      <c r="L118" s="1" t="s">
        <v>48</v>
      </c>
      <c r="M118" s="1" t="str">
        <f t="shared" si="37"/>
        <v>Jane Davis</v>
      </c>
      <c r="N118" s="1" t="str">
        <f t="shared" si="38"/>
        <v>Pediatrics</v>
      </c>
      <c r="O118" s="24">
        <f t="shared" si="39"/>
        <v>24</v>
      </c>
      <c r="P118" s="14" t="str">
        <f t="shared" si="40"/>
        <v>Eastside</v>
      </c>
      <c r="Q118" s="1" t="str">
        <f t="shared" si="41"/>
        <v>Clinic</v>
      </c>
      <c r="R118" s="17"/>
    </row>
    <row r="119" spans="1:18" x14ac:dyDescent="0.25">
      <c r="A119" s="1" t="s">
        <v>212</v>
      </c>
      <c r="B119" s="2">
        <v>45092</v>
      </c>
      <c r="C119" s="4">
        <v>0.63541666666666663</v>
      </c>
      <c r="D119" s="1" t="s">
        <v>29</v>
      </c>
      <c r="E119" s="1" t="s">
        <v>41</v>
      </c>
      <c r="F119" s="1" t="s">
        <v>161</v>
      </c>
      <c r="G119" s="1" t="str">
        <f t="shared" si="32"/>
        <v>Robert Williams</v>
      </c>
      <c r="H119" s="1" t="str">
        <f t="shared" si="33"/>
        <v>M</v>
      </c>
      <c r="I119" s="2">
        <f t="shared" si="34"/>
        <v>18798</v>
      </c>
      <c r="J119" s="24">
        <f t="shared" ca="1" si="35"/>
        <v>75</v>
      </c>
      <c r="K119" s="24" t="str">
        <f t="shared" ca="1" si="36"/>
        <v xml:space="preserve">60+ </v>
      </c>
      <c r="L119" s="1" t="s">
        <v>48</v>
      </c>
      <c r="M119" s="1" t="str">
        <f t="shared" si="37"/>
        <v>Jane Davis</v>
      </c>
      <c r="N119" s="1" t="str">
        <f t="shared" si="38"/>
        <v>Pediatrics</v>
      </c>
      <c r="O119" s="24">
        <f t="shared" si="39"/>
        <v>24</v>
      </c>
      <c r="P119" s="14" t="str">
        <f t="shared" si="40"/>
        <v>Eastside</v>
      </c>
      <c r="Q119" s="1" t="str">
        <f t="shared" si="41"/>
        <v>Clinic</v>
      </c>
      <c r="R119" s="17"/>
    </row>
    <row r="120" spans="1:18" x14ac:dyDescent="0.25">
      <c r="A120" s="1" t="s">
        <v>216</v>
      </c>
      <c r="B120" s="2">
        <v>45241</v>
      </c>
      <c r="C120" s="4">
        <v>0.61458333333333337</v>
      </c>
      <c r="D120" s="1" t="s">
        <v>29</v>
      </c>
      <c r="E120" s="1" t="s">
        <v>11</v>
      </c>
      <c r="F120" s="1" t="s">
        <v>163</v>
      </c>
      <c r="G120" s="1" t="str">
        <f t="shared" si="32"/>
        <v>Alex Johnson</v>
      </c>
      <c r="H120" s="1" t="str">
        <f t="shared" si="33"/>
        <v>F</v>
      </c>
      <c r="I120" s="2">
        <f t="shared" si="34"/>
        <v>32667</v>
      </c>
      <c r="J120" s="24">
        <f t="shared" ca="1" si="35"/>
        <v>37</v>
      </c>
      <c r="K120" s="24" t="str">
        <f t="shared" ca="1" si="36"/>
        <v>31-45 Group</v>
      </c>
      <c r="L120" s="1" t="s">
        <v>48</v>
      </c>
      <c r="M120" s="1" t="str">
        <f t="shared" si="37"/>
        <v>Jane Davis</v>
      </c>
      <c r="N120" s="1" t="str">
        <f t="shared" si="38"/>
        <v>Pediatrics</v>
      </c>
      <c r="O120" s="24">
        <f t="shared" si="39"/>
        <v>24</v>
      </c>
      <c r="P120" s="14" t="str">
        <f t="shared" si="40"/>
        <v>Eastside</v>
      </c>
      <c r="Q120" s="1" t="str">
        <f t="shared" si="41"/>
        <v>Clinic</v>
      </c>
      <c r="R120" s="17"/>
    </row>
    <row r="121" spans="1:18" x14ac:dyDescent="0.25">
      <c r="A121" s="1" t="s">
        <v>218</v>
      </c>
      <c r="B121" s="2">
        <v>45243</v>
      </c>
      <c r="C121" s="4">
        <v>0.72916666666666663</v>
      </c>
      <c r="D121" s="1" t="s">
        <v>26</v>
      </c>
      <c r="E121" s="1" t="s">
        <v>41</v>
      </c>
      <c r="F121" s="1" t="s">
        <v>61</v>
      </c>
      <c r="G121" s="1" t="str">
        <f t="shared" si="32"/>
        <v>Alex Taylor</v>
      </c>
      <c r="H121" s="1" t="str">
        <f t="shared" si="33"/>
        <v>M</v>
      </c>
      <c r="I121" s="2">
        <f t="shared" si="34"/>
        <v>24895</v>
      </c>
      <c r="J121" s="24">
        <f t="shared" ca="1" si="35"/>
        <v>58</v>
      </c>
      <c r="K121" s="24" t="str">
        <f t="shared" ca="1" si="36"/>
        <v>46-60 Group</v>
      </c>
      <c r="L121" s="1" t="s">
        <v>48</v>
      </c>
      <c r="M121" s="1" t="str">
        <f t="shared" si="37"/>
        <v>Jane Davis</v>
      </c>
      <c r="N121" s="1" t="str">
        <f t="shared" si="38"/>
        <v>Pediatrics</v>
      </c>
      <c r="O121" s="24">
        <f t="shared" si="39"/>
        <v>24</v>
      </c>
      <c r="P121" s="14" t="str">
        <f t="shared" si="40"/>
        <v>Eastside</v>
      </c>
      <c r="Q121" s="1" t="str">
        <f t="shared" si="41"/>
        <v>Clinic</v>
      </c>
      <c r="R121" s="17"/>
    </row>
    <row r="122" spans="1:18" x14ac:dyDescent="0.25">
      <c r="A122" s="1" t="s">
        <v>219</v>
      </c>
      <c r="B122" s="2">
        <v>45266</v>
      </c>
      <c r="C122" s="4">
        <v>0.35416666666666669</v>
      </c>
      <c r="D122" s="1" t="s">
        <v>18</v>
      </c>
      <c r="E122" s="1" t="s">
        <v>11</v>
      </c>
      <c r="F122" s="1" t="s">
        <v>97</v>
      </c>
      <c r="G122" s="1" t="str">
        <f t="shared" si="32"/>
        <v>Robert Miller</v>
      </c>
      <c r="H122" s="1" t="str">
        <f t="shared" si="33"/>
        <v>M</v>
      </c>
      <c r="I122" s="2">
        <f t="shared" si="34"/>
        <v>31791</v>
      </c>
      <c r="J122" s="24">
        <f t="shared" ca="1" si="35"/>
        <v>39</v>
      </c>
      <c r="K122" s="24" t="str">
        <f t="shared" ca="1" si="36"/>
        <v>31-45 Group</v>
      </c>
      <c r="L122" s="1" t="s">
        <v>48</v>
      </c>
      <c r="M122" s="1" t="str">
        <f t="shared" si="37"/>
        <v>Jane Davis</v>
      </c>
      <c r="N122" s="1" t="str">
        <f t="shared" si="38"/>
        <v>Pediatrics</v>
      </c>
      <c r="O122" s="24">
        <f t="shared" si="39"/>
        <v>24</v>
      </c>
      <c r="P122" s="14" t="str">
        <f t="shared" si="40"/>
        <v>Eastside</v>
      </c>
      <c r="Q122" s="1" t="str">
        <f t="shared" si="41"/>
        <v>Clinic</v>
      </c>
      <c r="R122" s="17"/>
    </row>
    <row r="123" spans="1:18" x14ac:dyDescent="0.25">
      <c r="A123" s="1" t="s">
        <v>220</v>
      </c>
      <c r="B123" s="2">
        <v>45133</v>
      </c>
      <c r="C123" s="4">
        <v>0.52083333333333337</v>
      </c>
      <c r="D123" s="1" t="s">
        <v>38</v>
      </c>
      <c r="E123" s="1" t="s">
        <v>41</v>
      </c>
      <c r="F123" s="1" t="s">
        <v>100</v>
      </c>
      <c r="G123" s="1" t="str">
        <f t="shared" si="32"/>
        <v>Sarah Miller</v>
      </c>
      <c r="H123" s="1" t="str">
        <f t="shared" si="33"/>
        <v>M</v>
      </c>
      <c r="I123" s="2">
        <f t="shared" si="34"/>
        <v>27538</v>
      </c>
      <c r="J123" s="24">
        <f t="shared" ca="1" si="35"/>
        <v>51</v>
      </c>
      <c r="K123" s="24" t="str">
        <f t="shared" ca="1" si="36"/>
        <v>46-60 Group</v>
      </c>
      <c r="L123" s="1" t="s">
        <v>48</v>
      </c>
      <c r="M123" s="1" t="str">
        <f t="shared" si="37"/>
        <v>Jane Davis</v>
      </c>
      <c r="N123" s="1" t="str">
        <f t="shared" si="38"/>
        <v>Pediatrics</v>
      </c>
      <c r="O123" s="24">
        <f t="shared" si="39"/>
        <v>24</v>
      </c>
      <c r="P123" s="14" t="str">
        <f t="shared" si="40"/>
        <v>Eastside</v>
      </c>
      <c r="Q123" s="1" t="str">
        <f t="shared" si="41"/>
        <v>Clinic</v>
      </c>
      <c r="R123" s="17"/>
    </row>
    <row r="124" spans="1:18" x14ac:dyDescent="0.25">
      <c r="A124" s="1" t="s">
        <v>222</v>
      </c>
      <c r="B124" s="2">
        <v>44954</v>
      </c>
      <c r="C124" s="4">
        <v>0.38541666666666669</v>
      </c>
      <c r="D124" s="1" t="s">
        <v>10</v>
      </c>
      <c r="E124" s="1" t="s">
        <v>11</v>
      </c>
      <c r="F124" s="1" t="s">
        <v>34</v>
      </c>
      <c r="G124" s="1" t="str">
        <f t="shared" si="32"/>
        <v>Michael Taylor</v>
      </c>
      <c r="H124" s="1" t="str">
        <f t="shared" si="33"/>
        <v>M</v>
      </c>
      <c r="I124" s="2">
        <f t="shared" si="34"/>
        <v>36729</v>
      </c>
      <c r="J124" s="24">
        <f t="shared" ca="1" si="35"/>
        <v>26</v>
      </c>
      <c r="K124" s="24" t="str">
        <f t="shared" ca="1" si="36"/>
        <v>19-30 Group</v>
      </c>
      <c r="L124" s="1" t="s">
        <v>48</v>
      </c>
      <c r="M124" s="1" t="str">
        <f t="shared" si="37"/>
        <v>Jane Davis</v>
      </c>
      <c r="N124" s="1" t="str">
        <f t="shared" si="38"/>
        <v>Pediatrics</v>
      </c>
      <c r="O124" s="24">
        <f t="shared" si="39"/>
        <v>24</v>
      </c>
      <c r="P124" s="14" t="str">
        <f t="shared" si="40"/>
        <v>Eastside</v>
      </c>
      <c r="Q124" s="1" t="str">
        <f t="shared" si="41"/>
        <v>Clinic</v>
      </c>
      <c r="R124" s="17"/>
    </row>
    <row r="125" spans="1:18" x14ac:dyDescent="0.25">
      <c r="A125" s="1" t="s">
        <v>243</v>
      </c>
      <c r="B125" s="2">
        <v>45034</v>
      </c>
      <c r="C125" s="4">
        <v>0.6875</v>
      </c>
      <c r="D125" s="1" t="s">
        <v>38</v>
      </c>
      <c r="E125" s="1" t="s">
        <v>19</v>
      </c>
      <c r="F125" s="1" t="s">
        <v>168</v>
      </c>
      <c r="G125" s="1" t="str">
        <f t="shared" si="32"/>
        <v>Emily Jones</v>
      </c>
      <c r="H125" s="1" t="str">
        <f t="shared" si="33"/>
        <v>F</v>
      </c>
      <c r="I125" s="2">
        <f t="shared" si="34"/>
        <v>24445</v>
      </c>
      <c r="J125" s="24">
        <f t="shared" ca="1" si="35"/>
        <v>59</v>
      </c>
      <c r="K125" s="24" t="str">
        <f t="shared" ca="1" si="36"/>
        <v>46-60 Group</v>
      </c>
      <c r="L125" s="1" t="s">
        <v>48</v>
      </c>
      <c r="M125" s="1" t="str">
        <f t="shared" si="37"/>
        <v>Jane Davis</v>
      </c>
      <c r="N125" s="1" t="str">
        <f t="shared" si="38"/>
        <v>Pediatrics</v>
      </c>
      <c r="O125" s="24">
        <f t="shared" si="39"/>
        <v>24</v>
      </c>
      <c r="P125" s="14" t="str">
        <f t="shared" si="40"/>
        <v>Eastside</v>
      </c>
      <c r="Q125" s="1" t="str">
        <f t="shared" si="41"/>
        <v>Clinic</v>
      </c>
      <c r="R125" s="17"/>
    </row>
    <row r="126" spans="1:18" x14ac:dyDescent="0.25">
      <c r="A126" s="1" t="s">
        <v>246</v>
      </c>
      <c r="B126" s="2">
        <v>45230</v>
      </c>
      <c r="C126" s="4">
        <v>0.46875</v>
      </c>
      <c r="D126" s="1" t="s">
        <v>38</v>
      </c>
      <c r="E126" s="1" t="s">
        <v>19</v>
      </c>
      <c r="F126" s="1" t="s">
        <v>50</v>
      </c>
      <c r="G126" s="1" t="str">
        <f t="shared" si="32"/>
        <v>Laura Davis</v>
      </c>
      <c r="H126" s="1" t="str">
        <f t="shared" si="33"/>
        <v>F</v>
      </c>
      <c r="I126" s="2">
        <f t="shared" si="34"/>
        <v>33580</v>
      </c>
      <c r="J126" s="24">
        <f t="shared" ca="1" si="35"/>
        <v>34</v>
      </c>
      <c r="K126" s="24" t="str">
        <f t="shared" ca="1" si="36"/>
        <v>31-45 Group</v>
      </c>
      <c r="L126" s="1" t="s">
        <v>48</v>
      </c>
      <c r="M126" s="1" t="str">
        <f t="shared" si="37"/>
        <v>Jane Davis</v>
      </c>
      <c r="N126" s="1" t="str">
        <f t="shared" si="38"/>
        <v>Pediatrics</v>
      </c>
      <c r="O126" s="24">
        <f t="shared" si="39"/>
        <v>24</v>
      </c>
      <c r="P126" s="14" t="str">
        <f t="shared" si="40"/>
        <v>Eastside</v>
      </c>
      <c r="Q126" s="1" t="str">
        <f t="shared" si="41"/>
        <v>Clinic</v>
      </c>
      <c r="R126" s="17"/>
    </row>
    <row r="127" spans="1:18" x14ac:dyDescent="0.25">
      <c r="A127" s="1" t="s">
        <v>261</v>
      </c>
      <c r="B127" s="2">
        <v>45028</v>
      </c>
      <c r="C127" s="4">
        <v>0.6875</v>
      </c>
      <c r="D127" s="1" t="s">
        <v>38</v>
      </c>
      <c r="E127" s="1" t="s">
        <v>19</v>
      </c>
      <c r="F127" s="1" t="s">
        <v>112</v>
      </c>
      <c r="G127" s="1" t="str">
        <f t="shared" si="32"/>
        <v>Emily Smith</v>
      </c>
      <c r="H127" s="1" t="str">
        <f t="shared" si="33"/>
        <v>F</v>
      </c>
      <c r="I127" s="2">
        <f t="shared" si="34"/>
        <v>30967</v>
      </c>
      <c r="J127" s="24">
        <f t="shared" ca="1" si="35"/>
        <v>41</v>
      </c>
      <c r="K127" s="24" t="str">
        <f t="shared" ca="1" si="36"/>
        <v>31-45 Group</v>
      </c>
      <c r="L127" s="1" t="s">
        <v>48</v>
      </c>
      <c r="M127" s="1" t="str">
        <f t="shared" si="37"/>
        <v>Jane Davis</v>
      </c>
      <c r="N127" s="1" t="str">
        <f t="shared" si="38"/>
        <v>Pediatrics</v>
      </c>
      <c r="O127" s="24">
        <f t="shared" si="39"/>
        <v>24</v>
      </c>
      <c r="P127" s="14" t="str">
        <f t="shared" si="40"/>
        <v>Eastside</v>
      </c>
      <c r="Q127" s="1" t="str">
        <f t="shared" si="41"/>
        <v>Clinic</v>
      </c>
      <c r="R127" s="17"/>
    </row>
    <row r="128" spans="1:18" x14ac:dyDescent="0.25">
      <c r="A128" s="1" t="s">
        <v>267</v>
      </c>
      <c r="B128" s="2">
        <v>45022</v>
      </c>
      <c r="C128" s="4">
        <v>0.53125</v>
      </c>
      <c r="D128" s="1" t="s">
        <v>10</v>
      </c>
      <c r="E128" s="1" t="s">
        <v>11</v>
      </c>
      <c r="F128" s="1" t="s">
        <v>154</v>
      </c>
      <c r="G128" s="1" t="str">
        <f t="shared" si="32"/>
        <v>David Davis</v>
      </c>
      <c r="H128" s="1" t="str">
        <f t="shared" si="33"/>
        <v>F</v>
      </c>
      <c r="I128" s="2">
        <f t="shared" si="34"/>
        <v>27946</v>
      </c>
      <c r="J128" s="24">
        <f t="shared" ca="1" si="35"/>
        <v>50</v>
      </c>
      <c r="K128" s="24" t="str">
        <f t="shared" ca="1" si="36"/>
        <v>46-60 Group</v>
      </c>
      <c r="L128" s="1" t="s">
        <v>48</v>
      </c>
      <c r="M128" s="1" t="str">
        <f t="shared" si="37"/>
        <v>Jane Davis</v>
      </c>
      <c r="N128" s="1" t="str">
        <f t="shared" si="38"/>
        <v>Pediatrics</v>
      </c>
      <c r="O128" s="24">
        <f t="shared" si="39"/>
        <v>24</v>
      </c>
      <c r="P128" s="14" t="str">
        <f t="shared" si="40"/>
        <v>Eastside</v>
      </c>
      <c r="Q128" s="1" t="str">
        <f t="shared" si="41"/>
        <v>Clinic</v>
      </c>
      <c r="R128" s="17"/>
    </row>
    <row r="129" spans="1:18" x14ac:dyDescent="0.25">
      <c r="A129" s="1" t="s">
        <v>7</v>
      </c>
      <c r="B129" s="2">
        <v>45147</v>
      </c>
      <c r="C129" s="4">
        <v>0.63541666666666663</v>
      </c>
      <c r="D129" s="1" t="s">
        <v>10</v>
      </c>
      <c r="E129" s="1" t="s">
        <v>11</v>
      </c>
      <c r="F129" s="1" t="s">
        <v>8</v>
      </c>
      <c r="G129" s="1" t="str">
        <f t="shared" si="32"/>
        <v>Alex Smith</v>
      </c>
      <c r="H129" s="1" t="str">
        <f t="shared" si="33"/>
        <v>F</v>
      </c>
      <c r="I129" s="2">
        <f t="shared" si="34"/>
        <v>18289</v>
      </c>
      <c r="J129" s="24">
        <f t="shared" ca="1" si="35"/>
        <v>76</v>
      </c>
      <c r="K129" s="24" t="str">
        <f t="shared" ca="1" si="36"/>
        <v xml:space="preserve">60+ </v>
      </c>
      <c r="L129" s="1" t="s">
        <v>9</v>
      </c>
      <c r="M129" s="1" t="str">
        <f t="shared" si="37"/>
        <v>Sarah Smith</v>
      </c>
      <c r="N129" s="1" t="str">
        <f t="shared" si="38"/>
        <v>Pediatrics</v>
      </c>
      <c r="O129" s="24">
        <f t="shared" si="39"/>
        <v>26</v>
      </c>
      <c r="P129" s="14" t="str">
        <f t="shared" si="40"/>
        <v>Central</v>
      </c>
      <c r="Q129" s="1" t="str">
        <f t="shared" si="41"/>
        <v>Hospital</v>
      </c>
      <c r="R129" s="17"/>
    </row>
    <row r="130" spans="1:18" x14ac:dyDescent="0.25">
      <c r="A130" s="1" t="s">
        <v>30</v>
      </c>
      <c r="B130" s="2">
        <v>45025</v>
      </c>
      <c r="C130" s="4">
        <v>0.4375</v>
      </c>
      <c r="D130" s="1" t="s">
        <v>18</v>
      </c>
      <c r="E130" s="1" t="s">
        <v>11</v>
      </c>
      <c r="F130" s="1" t="s">
        <v>31</v>
      </c>
      <c r="G130" s="1" t="str">
        <f t="shared" ref="G130:G161" si="42">VLOOKUP(F130,$CX$1:$DI$51,12,FALSE)</f>
        <v>David Williams</v>
      </c>
      <c r="H130" s="1" t="str">
        <f t="shared" ref="H130:H161" si="43">VLOOKUP(F130,$CX$1:$DI$51,4,FALSE)</f>
        <v>F</v>
      </c>
      <c r="I130" s="2">
        <f t="shared" ref="I130:I161" si="44">VLOOKUP(F130,$CX$1:$DI$51,5,FALSE)</f>
        <v>20244</v>
      </c>
      <c r="J130" s="24">
        <f t="shared" ref="J130:J161" ca="1" si="45">DATEDIF(I130,TODAY(),"Y")</f>
        <v>71</v>
      </c>
      <c r="K130" s="24" t="str">
        <f t="shared" ref="K130:K161" ca="1" si="46">_xlfn.IFS(J130&lt;=18,"0-18 Group",J130&lt;=30,"19-30 Group",J130&lt;=45,"31-45 Group",J130&lt;=60,"46-60 Group",J130&gt;60,"60+ ")</f>
        <v xml:space="preserve">60+ </v>
      </c>
      <c r="L130" s="1" t="s">
        <v>32</v>
      </c>
      <c r="M130" s="1" t="str">
        <f t="shared" ref="M130:M161" si="47">VLOOKUP(L130,$CL$1:$CU$11,10,FALSE)</f>
        <v>Robert Davis</v>
      </c>
      <c r="N130" s="1" t="str">
        <f t="shared" ref="N130:N161" si="48">VLOOKUP(L130,$CL$1:$CU$11,4,FALSE)</f>
        <v>Oncology</v>
      </c>
      <c r="O130" s="24">
        <f t="shared" ref="O130:O161" si="49">VLOOKUP(L130,$CL$1:$CU$11,6,FALSE)</f>
        <v>26</v>
      </c>
      <c r="P130" s="14" t="str">
        <f t="shared" ref="P130:P161" si="50">VLOOKUP(L130,$CL$1:$CU$11,7,FALSE)</f>
        <v>Westside</v>
      </c>
      <c r="Q130" s="1" t="str">
        <f t="shared" ref="Q130:Q161" si="51">VLOOKUP(L130,$CL$1:$CU$11,8,FALSE)</f>
        <v>Clinic</v>
      </c>
      <c r="R130" s="17"/>
    </row>
    <row r="131" spans="1:18" x14ac:dyDescent="0.25">
      <c r="A131" s="1" t="s">
        <v>42</v>
      </c>
      <c r="B131" s="2">
        <v>45242</v>
      </c>
      <c r="C131" s="4">
        <v>0.66666666666666663</v>
      </c>
      <c r="D131" s="1" t="s">
        <v>29</v>
      </c>
      <c r="E131" s="1" t="s">
        <v>15</v>
      </c>
      <c r="F131" s="1" t="s">
        <v>43</v>
      </c>
      <c r="G131" s="1" t="str">
        <f t="shared" si="42"/>
        <v>John Brown</v>
      </c>
      <c r="H131" s="1" t="str">
        <f t="shared" si="43"/>
        <v>M</v>
      </c>
      <c r="I131" s="2">
        <f t="shared" si="44"/>
        <v>20219</v>
      </c>
      <c r="J131" s="24">
        <f t="shared" ca="1" si="45"/>
        <v>71</v>
      </c>
      <c r="K131" s="24" t="str">
        <f t="shared" ca="1" si="46"/>
        <v xml:space="preserve">60+ </v>
      </c>
      <c r="L131" s="1" t="s">
        <v>32</v>
      </c>
      <c r="M131" s="1" t="str">
        <f t="shared" si="47"/>
        <v>Robert Davis</v>
      </c>
      <c r="N131" s="1" t="str">
        <f t="shared" si="48"/>
        <v>Oncology</v>
      </c>
      <c r="O131" s="24">
        <f t="shared" si="49"/>
        <v>26</v>
      </c>
      <c r="P131" s="14" t="str">
        <f t="shared" si="50"/>
        <v>Westside</v>
      </c>
      <c r="Q131" s="1" t="str">
        <f t="shared" si="51"/>
        <v>Clinic</v>
      </c>
      <c r="R131" s="17"/>
    </row>
    <row r="132" spans="1:18" x14ac:dyDescent="0.25">
      <c r="A132" s="1" t="s">
        <v>55</v>
      </c>
      <c r="B132" s="2">
        <v>45118</v>
      </c>
      <c r="C132" s="4">
        <v>0.70833333333333337</v>
      </c>
      <c r="D132" s="1" t="s">
        <v>26</v>
      </c>
      <c r="E132" s="1" t="s">
        <v>11</v>
      </c>
      <c r="F132" s="1" t="s">
        <v>56</v>
      </c>
      <c r="G132" s="1" t="str">
        <f t="shared" si="42"/>
        <v>Robert Williams</v>
      </c>
      <c r="H132" s="1" t="str">
        <f t="shared" si="43"/>
        <v>M</v>
      </c>
      <c r="I132" s="2">
        <f t="shared" si="44"/>
        <v>36196</v>
      </c>
      <c r="J132" s="24">
        <f t="shared" ca="1" si="45"/>
        <v>27</v>
      </c>
      <c r="K132" s="24" t="str">
        <f t="shared" ca="1" si="46"/>
        <v>19-30 Group</v>
      </c>
      <c r="L132" s="1" t="s">
        <v>9</v>
      </c>
      <c r="M132" s="1" t="str">
        <f t="shared" si="47"/>
        <v>Sarah Smith</v>
      </c>
      <c r="N132" s="1" t="str">
        <f t="shared" si="48"/>
        <v>Pediatrics</v>
      </c>
      <c r="O132" s="24">
        <f t="shared" si="49"/>
        <v>26</v>
      </c>
      <c r="P132" s="14" t="str">
        <f t="shared" si="50"/>
        <v>Central</v>
      </c>
      <c r="Q132" s="1" t="str">
        <f t="shared" si="51"/>
        <v>Hospital</v>
      </c>
      <c r="R132" s="17"/>
    </row>
    <row r="133" spans="1:18" x14ac:dyDescent="0.25">
      <c r="A133" s="1" t="s">
        <v>57</v>
      </c>
      <c r="B133" s="2">
        <v>45244</v>
      </c>
      <c r="C133" s="4">
        <v>0.40625</v>
      </c>
      <c r="D133" s="1" t="s">
        <v>18</v>
      </c>
      <c r="E133" s="1" t="s">
        <v>19</v>
      </c>
      <c r="F133" s="1" t="s">
        <v>43</v>
      </c>
      <c r="G133" s="1" t="str">
        <f t="shared" si="42"/>
        <v>John Brown</v>
      </c>
      <c r="H133" s="1" t="str">
        <f t="shared" si="43"/>
        <v>M</v>
      </c>
      <c r="I133" s="2">
        <f t="shared" si="44"/>
        <v>20219</v>
      </c>
      <c r="J133" s="24">
        <f t="shared" ca="1" si="45"/>
        <v>71</v>
      </c>
      <c r="K133" s="24" t="str">
        <f t="shared" ca="1" si="46"/>
        <v xml:space="preserve">60+ </v>
      </c>
      <c r="L133" s="1" t="s">
        <v>32</v>
      </c>
      <c r="M133" s="1" t="str">
        <f t="shared" si="47"/>
        <v>Robert Davis</v>
      </c>
      <c r="N133" s="1" t="str">
        <f t="shared" si="48"/>
        <v>Oncology</v>
      </c>
      <c r="O133" s="24">
        <f t="shared" si="49"/>
        <v>26</v>
      </c>
      <c r="P133" s="14" t="str">
        <f t="shared" si="50"/>
        <v>Westside</v>
      </c>
      <c r="Q133" s="1" t="str">
        <f t="shared" si="51"/>
        <v>Clinic</v>
      </c>
      <c r="R133" s="17"/>
    </row>
    <row r="134" spans="1:18" x14ac:dyDescent="0.25">
      <c r="A134" s="1" t="s">
        <v>62</v>
      </c>
      <c r="B134" s="2">
        <v>45040</v>
      </c>
      <c r="C134" s="4">
        <v>0.41666666666666669</v>
      </c>
      <c r="D134" s="1" t="s">
        <v>10</v>
      </c>
      <c r="E134" s="1" t="s">
        <v>15</v>
      </c>
      <c r="F134" s="1" t="s">
        <v>63</v>
      </c>
      <c r="G134" s="1" t="str">
        <f t="shared" si="42"/>
        <v>Alex Moore</v>
      </c>
      <c r="H134" s="1" t="str">
        <f t="shared" si="43"/>
        <v>M</v>
      </c>
      <c r="I134" s="2">
        <f t="shared" si="44"/>
        <v>34072</v>
      </c>
      <c r="J134" s="24">
        <f t="shared" ca="1" si="45"/>
        <v>33</v>
      </c>
      <c r="K134" s="24" t="str">
        <f t="shared" ca="1" si="46"/>
        <v>31-45 Group</v>
      </c>
      <c r="L134" s="1" t="s">
        <v>9</v>
      </c>
      <c r="M134" s="1" t="str">
        <f t="shared" si="47"/>
        <v>Sarah Smith</v>
      </c>
      <c r="N134" s="1" t="str">
        <f t="shared" si="48"/>
        <v>Pediatrics</v>
      </c>
      <c r="O134" s="24">
        <f t="shared" si="49"/>
        <v>26</v>
      </c>
      <c r="P134" s="14" t="str">
        <f t="shared" si="50"/>
        <v>Central</v>
      </c>
      <c r="Q134" s="1" t="str">
        <f t="shared" si="51"/>
        <v>Hospital</v>
      </c>
      <c r="R134" s="17"/>
    </row>
    <row r="135" spans="1:18" x14ac:dyDescent="0.25">
      <c r="A135" s="1" t="s">
        <v>65</v>
      </c>
      <c r="B135" s="2">
        <v>45055</v>
      </c>
      <c r="C135" s="4">
        <v>0.60416666666666663</v>
      </c>
      <c r="D135" s="1" t="s">
        <v>38</v>
      </c>
      <c r="E135" s="1" t="s">
        <v>19</v>
      </c>
      <c r="F135" s="1" t="s">
        <v>66</v>
      </c>
      <c r="G135" s="1" t="str">
        <f t="shared" si="42"/>
        <v>Jane Moore</v>
      </c>
      <c r="H135" s="1" t="str">
        <f t="shared" si="43"/>
        <v>M</v>
      </c>
      <c r="I135" s="2">
        <f t="shared" si="44"/>
        <v>35046</v>
      </c>
      <c r="J135" s="24">
        <f t="shared" ca="1" si="45"/>
        <v>30</v>
      </c>
      <c r="K135" s="24" t="str">
        <f t="shared" ca="1" si="46"/>
        <v>19-30 Group</v>
      </c>
      <c r="L135" s="1" t="s">
        <v>9</v>
      </c>
      <c r="M135" s="1" t="str">
        <f t="shared" si="47"/>
        <v>Sarah Smith</v>
      </c>
      <c r="N135" s="1" t="str">
        <f t="shared" si="48"/>
        <v>Pediatrics</v>
      </c>
      <c r="O135" s="24">
        <f t="shared" si="49"/>
        <v>26</v>
      </c>
      <c r="P135" s="14" t="str">
        <f t="shared" si="50"/>
        <v>Central</v>
      </c>
      <c r="Q135" s="1" t="str">
        <f t="shared" si="51"/>
        <v>Hospital</v>
      </c>
      <c r="R135" s="17"/>
    </row>
    <row r="136" spans="1:18" x14ac:dyDescent="0.25">
      <c r="A136" s="1" t="s">
        <v>73</v>
      </c>
      <c r="B136" s="2">
        <v>45244</v>
      </c>
      <c r="C136" s="4">
        <v>0.53125</v>
      </c>
      <c r="D136" s="1" t="s">
        <v>10</v>
      </c>
      <c r="E136" s="1" t="s">
        <v>11</v>
      </c>
      <c r="F136" s="1" t="s">
        <v>40</v>
      </c>
      <c r="G136" s="1" t="str">
        <f t="shared" si="42"/>
        <v>David Wilson</v>
      </c>
      <c r="H136" s="1" t="str">
        <f t="shared" si="43"/>
        <v>M</v>
      </c>
      <c r="I136" s="2">
        <f t="shared" si="44"/>
        <v>22090</v>
      </c>
      <c r="J136" s="24">
        <f t="shared" ca="1" si="45"/>
        <v>66</v>
      </c>
      <c r="K136" s="24" t="str">
        <f t="shared" ca="1" si="46"/>
        <v xml:space="preserve">60+ </v>
      </c>
      <c r="L136" s="1" t="s">
        <v>74</v>
      </c>
      <c r="M136" s="1" t="str">
        <f t="shared" si="47"/>
        <v>Sarah Taylor</v>
      </c>
      <c r="N136" s="1" t="str">
        <f t="shared" si="48"/>
        <v>Dermatology</v>
      </c>
      <c r="O136" s="24">
        <f t="shared" si="49"/>
        <v>26</v>
      </c>
      <c r="P136" s="14" t="str">
        <f t="shared" si="50"/>
        <v>Central</v>
      </c>
      <c r="Q136" s="1" t="str">
        <f t="shared" si="51"/>
        <v>Hospital</v>
      </c>
      <c r="R136" s="17"/>
    </row>
    <row r="137" spans="1:18" x14ac:dyDescent="0.25">
      <c r="A137" s="1" t="s">
        <v>77</v>
      </c>
      <c r="B137" s="2">
        <v>45167</v>
      </c>
      <c r="C137" s="4">
        <v>0.55208333333333337</v>
      </c>
      <c r="D137" s="1" t="s">
        <v>29</v>
      </c>
      <c r="E137" s="1" t="s">
        <v>41</v>
      </c>
      <c r="F137" s="1" t="s">
        <v>52</v>
      </c>
      <c r="G137" s="1" t="str">
        <f t="shared" si="42"/>
        <v>John Taylor</v>
      </c>
      <c r="H137" s="1" t="str">
        <f t="shared" si="43"/>
        <v>M</v>
      </c>
      <c r="I137" s="2">
        <f t="shared" si="44"/>
        <v>37953</v>
      </c>
      <c r="J137" s="24">
        <f t="shared" ca="1" si="45"/>
        <v>22</v>
      </c>
      <c r="K137" s="24" t="str">
        <f t="shared" ca="1" si="46"/>
        <v>19-30 Group</v>
      </c>
      <c r="L137" s="1" t="s">
        <v>74</v>
      </c>
      <c r="M137" s="1" t="str">
        <f t="shared" si="47"/>
        <v>Sarah Taylor</v>
      </c>
      <c r="N137" s="1" t="str">
        <f t="shared" si="48"/>
        <v>Dermatology</v>
      </c>
      <c r="O137" s="24">
        <f t="shared" si="49"/>
        <v>26</v>
      </c>
      <c r="P137" s="14" t="str">
        <f t="shared" si="50"/>
        <v>Central</v>
      </c>
      <c r="Q137" s="1" t="str">
        <f t="shared" si="51"/>
        <v>Hospital</v>
      </c>
      <c r="R137" s="17"/>
    </row>
    <row r="138" spans="1:18" x14ac:dyDescent="0.25">
      <c r="A138" s="1" t="s">
        <v>79</v>
      </c>
      <c r="B138" s="2">
        <v>45236</v>
      </c>
      <c r="C138" s="4">
        <v>0.44791666666666669</v>
      </c>
      <c r="D138" s="1" t="s">
        <v>29</v>
      </c>
      <c r="E138" s="1" t="s">
        <v>11</v>
      </c>
      <c r="F138" s="1" t="s">
        <v>17</v>
      </c>
      <c r="G138" s="1" t="str">
        <f t="shared" si="42"/>
        <v>Emily Miller</v>
      </c>
      <c r="H138" s="1" t="str">
        <f t="shared" si="43"/>
        <v>M</v>
      </c>
      <c r="I138" s="2">
        <f t="shared" si="44"/>
        <v>30399</v>
      </c>
      <c r="J138" s="24">
        <f t="shared" ca="1" si="45"/>
        <v>43</v>
      </c>
      <c r="K138" s="24" t="str">
        <f t="shared" ca="1" si="46"/>
        <v>31-45 Group</v>
      </c>
      <c r="L138" s="1" t="s">
        <v>74</v>
      </c>
      <c r="M138" s="1" t="str">
        <f t="shared" si="47"/>
        <v>Sarah Taylor</v>
      </c>
      <c r="N138" s="1" t="str">
        <f t="shared" si="48"/>
        <v>Dermatology</v>
      </c>
      <c r="O138" s="24">
        <f t="shared" si="49"/>
        <v>26</v>
      </c>
      <c r="P138" s="14" t="str">
        <f t="shared" si="50"/>
        <v>Central</v>
      </c>
      <c r="Q138" s="1" t="str">
        <f t="shared" si="51"/>
        <v>Hospital</v>
      </c>
      <c r="R138" s="17"/>
    </row>
    <row r="139" spans="1:18" x14ac:dyDescent="0.25">
      <c r="A139" s="1" t="s">
        <v>80</v>
      </c>
      <c r="B139" s="2">
        <v>45192</v>
      </c>
      <c r="C139" s="4">
        <v>0.73958333333333337</v>
      </c>
      <c r="D139" s="1" t="s">
        <v>10</v>
      </c>
      <c r="E139" s="1" t="s">
        <v>15</v>
      </c>
      <c r="F139" s="1" t="s">
        <v>81</v>
      </c>
      <c r="G139" s="1" t="str">
        <f t="shared" si="42"/>
        <v>Michael Wilson</v>
      </c>
      <c r="H139" s="1" t="str">
        <f t="shared" si="43"/>
        <v>M</v>
      </c>
      <c r="I139" s="2">
        <f t="shared" si="44"/>
        <v>37316</v>
      </c>
      <c r="J139" s="24">
        <f t="shared" ca="1" si="45"/>
        <v>24</v>
      </c>
      <c r="K139" s="24" t="str">
        <f t="shared" ca="1" si="46"/>
        <v>19-30 Group</v>
      </c>
      <c r="L139" s="1" t="s">
        <v>74</v>
      </c>
      <c r="M139" s="1" t="str">
        <f t="shared" si="47"/>
        <v>Sarah Taylor</v>
      </c>
      <c r="N139" s="1" t="str">
        <f t="shared" si="48"/>
        <v>Dermatology</v>
      </c>
      <c r="O139" s="24">
        <f t="shared" si="49"/>
        <v>26</v>
      </c>
      <c r="P139" s="14" t="str">
        <f t="shared" si="50"/>
        <v>Central</v>
      </c>
      <c r="Q139" s="1" t="str">
        <f t="shared" si="51"/>
        <v>Hospital</v>
      </c>
      <c r="R139" s="17"/>
    </row>
    <row r="140" spans="1:18" x14ac:dyDescent="0.25">
      <c r="A140" s="1" t="s">
        <v>88</v>
      </c>
      <c r="B140" s="2">
        <v>44980</v>
      </c>
      <c r="C140" s="4">
        <v>0.54166666666666663</v>
      </c>
      <c r="D140" s="1" t="s">
        <v>18</v>
      </c>
      <c r="E140" s="1" t="s">
        <v>11</v>
      </c>
      <c r="F140" s="1" t="s">
        <v>56</v>
      </c>
      <c r="G140" s="1" t="str">
        <f t="shared" si="42"/>
        <v>Robert Williams</v>
      </c>
      <c r="H140" s="1" t="str">
        <f t="shared" si="43"/>
        <v>M</v>
      </c>
      <c r="I140" s="2">
        <f t="shared" si="44"/>
        <v>36196</v>
      </c>
      <c r="J140" s="24">
        <f t="shared" ca="1" si="45"/>
        <v>27</v>
      </c>
      <c r="K140" s="24" t="str">
        <f t="shared" ca="1" si="46"/>
        <v>19-30 Group</v>
      </c>
      <c r="L140" s="1" t="s">
        <v>9</v>
      </c>
      <c r="M140" s="1" t="str">
        <f t="shared" si="47"/>
        <v>Sarah Smith</v>
      </c>
      <c r="N140" s="1" t="str">
        <f t="shared" si="48"/>
        <v>Pediatrics</v>
      </c>
      <c r="O140" s="24">
        <f t="shared" si="49"/>
        <v>26</v>
      </c>
      <c r="P140" s="14" t="str">
        <f t="shared" si="50"/>
        <v>Central</v>
      </c>
      <c r="Q140" s="1" t="str">
        <f t="shared" si="51"/>
        <v>Hospital</v>
      </c>
      <c r="R140" s="17"/>
    </row>
    <row r="141" spans="1:18" x14ac:dyDescent="0.25">
      <c r="A141" s="1" t="s">
        <v>91</v>
      </c>
      <c r="B141" s="2">
        <v>45012</v>
      </c>
      <c r="C141" s="4">
        <v>0.52083333333333337</v>
      </c>
      <c r="D141" s="1" t="s">
        <v>10</v>
      </c>
      <c r="E141" s="1" t="s">
        <v>41</v>
      </c>
      <c r="F141" s="1" t="s">
        <v>92</v>
      </c>
      <c r="G141" s="1" t="str">
        <f t="shared" si="42"/>
        <v>Michael Taylor</v>
      </c>
      <c r="H141" s="1" t="str">
        <f t="shared" si="43"/>
        <v>M</v>
      </c>
      <c r="I141" s="2">
        <f t="shared" si="44"/>
        <v>37177</v>
      </c>
      <c r="J141" s="24">
        <f t="shared" ca="1" si="45"/>
        <v>24</v>
      </c>
      <c r="K141" s="24" t="str">
        <f t="shared" ca="1" si="46"/>
        <v>19-30 Group</v>
      </c>
      <c r="L141" s="1" t="s">
        <v>9</v>
      </c>
      <c r="M141" s="1" t="str">
        <f t="shared" si="47"/>
        <v>Sarah Smith</v>
      </c>
      <c r="N141" s="1" t="str">
        <f t="shared" si="48"/>
        <v>Pediatrics</v>
      </c>
      <c r="O141" s="24">
        <f t="shared" si="49"/>
        <v>26</v>
      </c>
      <c r="P141" s="14" t="str">
        <f t="shared" si="50"/>
        <v>Central</v>
      </c>
      <c r="Q141" s="1" t="str">
        <f t="shared" si="51"/>
        <v>Hospital</v>
      </c>
      <c r="R141" s="17"/>
    </row>
    <row r="142" spans="1:18" x14ac:dyDescent="0.25">
      <c r="A142" s="1" t="s">
        <v>95</v>
      </c>
      <c r="B142" s="2">
        <v>45014</v>
      </c>
      <c r="C142" s="4">
        <v>0.38541666666666669</v>
      </c>
      <c r="D142" s="1" t="s">
        <v>18</v>
      </c>
      <c r="E142" s="1" t="s">
        <v>15</v>
      </c>
      <c r="F142" s="1" t="s">
        <v>8</v>
      </c>
      <c r="G142" s="1" t="str">
        <f t="shared" si="42"/>
        <v>Alex Smith</v>
      </c>
      <c r="H142" s="1" t="str">
        <f t="shared" si="43"/>
        <v>F</v>
      </c>
      <c r="I142" s="2">
        <f t="shared" si="44"/>
        <v>18289</v>
      </c>
      <c r="J142" s="24">
        <f t="shared" ca="1" si="45"/>
        <v>76</v>
      </c>
      <c r="K142" s="24" t="str">
        <f t="shared" ca="1" si="46"/>
        <v xml:space="preserve">60+ </v>
      </c>
      <c r="L142" s="1" t="s">
        <v>74</v>
      </c>
      <c r="M142" s="1" t="str">
        <f t="shared" si="47"/>
        <v>Sarah Taylor</v>
      </c>
      <c r="N142" s="1" t="str">
        <f t="shared" si="48"/>
        <v>Dermatology</v>
      </c>
      <c r="O142" s="24">
        <f t="shared" si="49"/>
        <v>26</v>
      </c>
      <c r="P142" s="14" t="str">
        <f t="shared" si="50"/>
        <v>Central</v>
      </c>
      <c r="Q142" s="1" t="str">
        <f t="shared" si="51"/>
        <v>Hospital</v>
      </c>
      <c r="R142" s="17"/>
    </row>
    <row r="143" spans="1:18" x14ac:dyDescent="0.25">
      <c r="A143" s="1" t="s">
        <v>101</v>
      </c>
      <c r="B143" s="2">
        <v>45048</v>
      </c>
      <c r="C143" s="4">
        <v>0.45833333333333331</v>
      </c>
      <c r="D143" s="1" t="s">
        <v>10</v>
      </c>
      <c r="E143" s="1" t="s">
        <v>41</v>
      </c>
      <c r="F143" s="1" t="s">
        <v>13</v>
      </c>
      <c r="G143" s="1" t="str">
        <f t="shared" si="42"/>
        <v>Alex Moore</v>
      </c>
      <c r="H143" s="1" t="str">
        <f t="shared" si="43"/>
        <v>M</v>
      </c>
      <c r="I143" s="2">
        <f t="shared" si="44"/>
        <v>29594</v>
      </c>
      <c r="J143" s="24">
        <f t="shared" ca="1" si="45"/>
        <v>45</v>
      </c>
      <c r="K143" s="24" t="str">
        <f t="shared" ca="1" si="46"/>
        <v>31-45 Group</v>
      </c>
      <c r="L143" s="1" t="s">
        <v>32</v>
      </c>
      <c r="M143" s="1" t="str">
        <f t="shared" si="47"/>
        <v>Robert Davis</v>
      </c>
      <c r="N143" s="1" t="str">
        <f t="shared" si="48"/>
        <v>Oncology</v>
      </c>
      <c r="O143" s="24">
        <f t="shared" si="49"/>
        <v>26</v>
      </c>
      <c r="P143" s="14" t="str">
        <f t="shared" si="50"/>
        <v>Westside</v>
      </c>
      <c r="Q143" s="1" t="str">
        <f t="shared" si="51"/>
        <v>Clinic</v>
      </c>
      <c r="R143" s="17"/>
    </row>
    <row r="144" spans="1:18" x14ac:dyDescent="0.25">
      <c r="A144" s="1" t="s">
        <v>102</v>
      </c>
      <c r="B144" s="2">
        <v>44942</v>
      </c>
      <c r="C144" s="4">
        <v>0.65625</v>
      </c>
      <c r="D144" s="1" t="s">
        <v>26</v>
      </c>
      <c r="E144" s="1" t="s">
        <v>19</v>
      </c>
      <c r="F144" s="1" t="s">
        <v>31</v>
      </c>
      <c r="G144" s="1" t="str">
        <f t="shared" si="42"/>
        <v>David Williams</v>
      </c>
      <c r="H144" s="1" t="str">
        <f t="shared" si="43"/>
        <v>F</v>
      </c>
      <c r="I144" s="2">
        <f t="shared" si="44"/>
        <v>20244</v>
      </c>
      <c r="J144" s="24">
        <f t="shared" ca="1" si="45"/>
        <v>71</v>
      </c>
      <c r="K144" s="24" t="str">
        <f t="shared" ca="1" si="46"/>
        <v xml:space="preserve">60+ </v>
      </c>
      <c r="L144" s="1" t="s">
        <v>9</v>
      </c>
      <c r="M144" s="1" t="str">
        <f t="shared" si="47"/>
        <v>Sarah Smith</v>
      </c>
      <c r="N144" s="1" t="str">
        <f t="shared" si="48"/>
        <v>Pediatrics</v>
      </c>
      <c r="O144" s="24">
        <f t="shared" si="49"/>
        <v>26</v>
      </c>
      <c r="P144" s="14" t="str">
        <f t="shared" si="50"/>
        <v>Central</v>
      </c>
      <c r="Q144" s="1" t="str">
        <f t="shared" si="51"/>
        <v>Hospital</v>
      </c>
      <c r="R144" s="17"/>
    </row>
    <row r="145" spans="1:18" x14ac:dyDescent="0.25">
      <c r="A145" s="1" t="s">
        <v>108</v>
      </c>
      <c r="B145" s="2">
        <v>44969</v>
      </c>
      <c r="C145" s="4">
        <v>0.4375</v>
      </c>
      <c r="D145" s="1" t="s">
        <v>29</v>
      </c>
      <c r="E145" s="1" t="s">
        <v>19</v>
      </c>
      <c r="F145" s="1" t="s">
        <v>109</v>
      </c>
      <c r="G145" s="1" t="str">
        <f t="shared" si="42"/>
        <v>Sarah Brown</v>
      </c>
      <c r="H145" s="1" t="str">
        <f t="shared" si="43"/>
        <v>F</v>
      </c>
      <c r="I145" s="2">
        <f t="shared" si="44"/>
        <v>33546</v>
      </c>
      <c r="J145" s="24">
        <f t="shared" ca="1" si="45"/>
        <v>34</v>
      </c>
      <c r="K145" s="24" t="str">
        <f t="shared" ca="1" si="46"/>
        <v>31-45 Group</v>
      </c>
      <c r="L145" s="1" t="s">
        <v>74</v>
      </c>
      <c r="M145" s="1" t="str">
        <f t="shared" si="47"/>
        <v>Sarah Taylor</v>
      </c>
      <c r="N145" s="1" t="str">
        <f t="shared" si="48"/>
        <v>Dermatology</v>
      </c>
      <c r="O145" s="24">
        <f t="shared" si="49"/>
        <v>26</v>
      </c>
      <c r="P145" s="14" t="str">
        <f t="shared" si="50"/>
        <v>Central</v>
      </c>
      <c r="Q145" s="1" t="str">
        <f t="shared" si="51"/>
        <v>Hospital</v>
      </c>
      <c r="R145" s="17"/>
    </row>
    <row r="146" spans="1:18" x14ac:dyDescent="0.25">
      <c r="A146" s="1" t="s">
        <v>120</v>
      </c>
      <c r="B146" s="2">
        <v>44941</v>
      </c>
      <c r="C146" s="4">
        <v>0.70833333333333337</v>
      </c>
      <c r="D146" s="1" t="s">
        <v>10</v>
      </c>
      <c r="E146" s="1" t="s">
        <v>15</v>
      </c>
      <c r="F146" s="1" t="s">
        <v>109</v>
      </c>
      <c r="G146" s="1" t="str">
        <f t="shared" si="42"/>
        <v>Sarah Brown</v>
      </c>
      <c r="H146" s="1" t="str">
        <f t="shared" si="43"/>
        <v>F</v>
      </c>
      <c r="I146" s="2">
        <f t="shared" si="44"/>
        <v>33546</v>
      </c>
      <c r="J146" s="24">
        <f t="shared" ca="1" si="45"/>
        <v>34</v>
      </c>
      <c r="K146" s="24" t="str">
        <f t="shared" ca="1" si="46"/>
        <v>31-45 Group</v>
      </c>
      <c r="L146" s="1" t="s">
        <v>74</v>
      </c>
      <c r="M146" s="1" t="str">
        <f t="shared" si="47"/>
        <v>Sarah Taylor</v>
      </c>
      <c r="N146" s="1" t="str">
        <f t="shared" si="48"/>
        <v>Dermatology</v>
      </c>
      <c r="O146" s="24">
        <f t="shared" si="49"/>
        <v>26</v>
      </c>
      <c r="P146" s="14" t="str">
        <f t="shared" si="50"/>
        <v>Central</v>
      </c>
      <c r="Q146" s="1" t="str">
        <f t="shared" si="51"/>
        <v>Hospital</v>
      </c>
      <c r="R146" s="17"/>
    </row>
    <row r="147" spans="1:18" x14ac:dyDescent="0.25">
      <c r="A147" s="1" t="s">
        <v>121</v>
      </c>
      <c r="B147" s="2">
        <v>45091</v>
      </c>
      <c r="C147" s="4">
        <v>0.63541666666666663</v>
      </c>
      <c r="D147" s="1" t="s">
        <v>29</v>
      </c>
      <c r="E147" s="1" t="s">
        <v>15</v>
      </c>
      <c r="F147" s="1" t="s">
        <v>50</v>
      </c>
      <c r="G147" s="1" t="str">
        <f t="shared" si="42"/>
        <v>Laura Davis</v>
      </c>
      <c r="H147" s="1" t="str">
        <f t="shared" si="43"/>
        <v>F</v>
      </c>
      <c r="I147" s="2">
        <f t="shared" si="44"/>
        <v>33580</v>
      </c>
      <c r="J147" s="24">
        <f t="shared" ca="1" si="45"/>
        <v>34</v>
      </c>
      <c r="K147" s="24" t="str">
        <f t="shared" ca="1" si="46"/>
        <v>31-45 Group</v>
      </c>
      <c r="L147" s="1" t="s">
        <v>9</v>
      </c>
      <c r="M147" s="1" t="str">
        <f t="shared" si="47"/>
        <v>Sarah Smith</v>
      </c>
      <c r="N147" s="1" t="str">
        <f t="shared" si="48"/>
        <v>Pediatrics</v>
      </c>
      <c r="O147" s="24">
        <f t="shared" si="49"/>
        <v>26</v>
      </c>
      <c r="P147" s="14" t="str">
        <f t="shared" si="50"/>
        <v>Central</v>
      </c>
      <c r="Q147" s="1" t="str">
        <f t="shared" si="51"/>
        <v>Hospital</v>
      </c>
      <c r="R147" s="17"/>
    </row>
    <row r="148" spans="1:18" x14ac:dyDescent="0.25">
      <c r="A148" s="1" t="s">
        <v>127</v>
      </c>
      <c r="B148" s="2">
        <v>45056</v>
      </c>
      <c r="C148" s="4">
        <v>0.48958333333333331</v>
      </c>
      <c r="D148" s="1" t="s">
        <v>18</v>
      </c>
      <c r="E148" s="1" t="s">
        <v>15</v>
      </c>
      <c r="F148" s="1" t="s">
        <v>86</v>
      </c>
      <c r="G148" s="1" t="str">
        <f t="shared" si="42"/>
        <v>Michael Wilson</v>
      </c>
      <c r="H148" s="1" t="str">
        <f t="shared" si="43"/>
        <v>F</v>
      </c>
      <c r="I148" s="2">
        <f t="shared" si="44"/>
        <v>25605</v>
      </c>
      <c r="J148" s="24">
        <f t="shared" ca="1" si="45"/>
        <v>56</v>
      </c>
      <c r="K148" s="24" t="str">
        <f t="shared" ca="1" si="46"/>
        <v>46-60 Group</v>
      </c>
      <c r="L148" s="1" t="s">
        <v>9</v>
      </c>
      <c r="M148" s="1" t="str">
        <f t="shared" si="47"/>
        <v>Sarah Smith</v>
      </c>
      <c r="N148" s="1" t="str">
        <f t="shared" si="48"/>
        <v>Pediatrics</v>
      </c>
      <c r="O148" s="24">
        <f t="shared" si="49"/>
        <v>26</v>
      </c>
      <c r="P148" s="14" t="str">
        <f t="shared" si="50"/>
        <v>Central</v>
      </c>
      <c r="Q148" s="1" t="str">
        <f t="shared" si="51"/>
        <v>Hospital</v>
      </c>
      <c r="R148" s="17"/>
    </row>
    <row r="149" spans="1:18" x14ac:dyDescent="0.25">
      <c r="A149" s="1" t="s">
        <v>130</v>
      </c>
      <c r="B149" s="2">
        <v>44999</v>
      </c>
      <c r="C149" s="4">
        <v>0.625</v>
      </c>
      <c r="D149" s="1" t="s">
        <v>29</v>
      </c>
      <c r="E149" s="1" t="s">
        <v>11</v>
      </c>
      <c r="F149" s="1" t="s">
        <v>56</v>
      </c>
      <c r="G149" s="1" t="str">
        <f t="shared" si="42"/>
        <v>Robert Williams</v>
      </c>
      <c r="H149" s="1" t="str">
        <f t="shared" si="43"/>
        <v>M</v>
      </c>
      <c r="I149" s="2">
        <f t="shared" si="44"/>
        <v>36196</v>
      </c>
      <c r="J149" s="24">
        <f t="shared" ca="1" si="45"/>
        <v>27</v>
      </c>
      <c r="K149" s="24" t="str">
        <f t="shared" ca="1" si="46"/>
        <v>19-30 Group</v>
      </c>
      <c r="L149" s="1" t="s">
        <v>74</v>
      </c>
      <c r="M149" s="1" t="str">
        <f t="shared" si="47"/>
        <v>Sarah Taylor</v>
      </c>
      <c r="N149" s="1" t="str">
        <f t="shared" si="48"/>
        <v>Dermatology</v>
      </c>
      <c r="O149" s="24">
        <f t="shared" si="49"/>
        <v>26</v>
      </c>
      <c r="P149" s="14" t="str">
        <f t="shared" si="50"/>
        <v>Central</v>
      </c>
      <c r="Q149" s="1" t="str">
        <f t="shared" si="51"/>
        <v>Hospital</v>
      </c>
      <c r="R149" s="17"/>
    </row>
    <row r="150" spans="1:18" x14ac:dyDescent="0.25">
      <c r="A150" s="1" t="s">
        <v>136</v>
      </c>
      <c r="B150" s="2">
        <v>45130</v>
      </c>
      <c r="C150" s="4">
        <v>0.5625</v>
      </c>
      <c r="D150" s="1" t="s">
        <v>10</v>
      </c>
      <c r="E150" s="1" t="s">
        <v>15</v>
      </c>
      <c r="F150" s="1" t="s">
        <v>92</v>
      </c>
      <c r="G150" s="1" t="str">
        <f t="shared" si="42"/>
        <v>Michael Taylor</v>
      </c>
      <c r="H150" s="1" t="str">
        <f t="shared" si="43"/>
        <v>M</v>
      </c>
      <c r="I150" s="2">
        <f t="shared" si="44"/>
        <v>37177</v>
      </c>
      <c r="J150" s="24">
        <f t="shared" ca="1" si="45"/>
        <v>24</v>
      </c>
      <c r="K150" s="24" t="str">
        <f t="shared" ca="1" si="46"/>
        <v>19-30 Group</v>
      </c>
      <c r="L150" s="1" t="s">
        <v>74</v>
      </c>
      <c r="M150" s="1" t="str">
        <f t="shared" si="47"/>
        <v>Sarah Taylor</v>
      </c>
      <c r="N150" s="1" t="str">
        <f t="shared" si="48"/>
        <v>Dermatology</v>
      </c>
      <c r="O150" s="24">
        <f t="shared" si="49"/>
        <v>26</v>
      </c>
      <c r="P150" s="14" t="str">
        <f t="shared" si="50"/>
        <v>Central</v>
      </c>
      <c r="Q150" s="1" t="str">
        <f t="shared" si="51"/>
        <v>Hospital</v>
      </c>
      <c r="R150" s="17"/>
    </row>
    <row r="151" spans="1:18" x14ac:dyDescent="0.25">
      <c r="A151" s="1" t="s">
        <v>137</v>
      </c>
      <c r="B151" s="2">
        <v>45054</v>
      </c>
      <c r="C151" s="4">
        <v>0.58333333333333337</v>
      </c>
      <c r="D151" s="1" t="s">
        <v>38</v>
      </c>
      <c r="E151" s="1" t="s">
        <v>19</v>
      </c>
      <c r="F151" s="1" t="s">
        <v>129</v>
      </c>
      <c r="G151" s="1" t="str">
        <f t="shared" si="42"/>
        <v>Linda Brown</v>
      </c>
      <c r="H151" s="1" t="str">
        <f t="shared" si="43"/>
        <v>M</v>
      </c>
      <c r="I151" s="2">
        <f t="shared" si="44"/>
        <v>29305</v>
      </c>
      <c r="J151" s="24">
        <f t="shared" ca="1" si="45"/>
        <v>46</v>
      </c>
      <c r="K151" s="24" t="str">
        <f t="shared" ca="1" si="46"/>
        <v>46-60 Group</v>
      </c>
      <c r="L151" s="1" t="s">
        <v>9</v>
      </c>
      <c r="M151" s="1" t="str">
        <f t="shared" si="47"/>
        <v>Sarah Smith</v>
      </c>
      <c r="N151" s="1" t="str">
        <f t="shared" si="48"/>
        <v>Pediatrics</v>
      </c>
      <c r="O151" s="24">
        <f t="shared" si="49"/>
        <v>26</v>
      </c>
      <c r="P151" s="14" t="str">
        <f t="shared" si="50"/>
        <v>Central</v>
      </c>
      <c r="Q151" s="1" t="str">
        <f t="shared" si="51"/>
        <v>Hospital</v>
      </c>
      <c r="R151" s="17"/>
    </row>
    <row r="152" spans="1:18" x14ac:dyDescent="0.25">
      <c r="A152" s="1" t="s">
        <v>144</v>
      </c>
      <c r="B152" s="2">
        <v>45103</v>
      </c>
      <c r="C152" s="4">
        <v>0.35416666666666669</v>
      </c>
      <c r="D152" s="1" t="s">
        <v>18</v>
      </c>
      <c r="E152" s="1" t="s">
        <v>11</v>
      </c>
      <c r="F152" s="1" t="s">
        <v>97</v>
      </c>
      <c r="G152" s="1" t="str">
        <f t="shared" si="42"/>
        <v>Robert Miller</v>
      </c>
      <c r="H152" s="1" t="str">
        <f t="shared" si="43"/>
        <v>M</v>
      </c>
      <c r="I152" s="2">
        <f t="shared" si="44"/>
        <v>31791</v>
      </c>
      <c r="J152" s="24">
        <f t="shared" ca="1" si="45"/>
        <v>39</v>
      </c>
      <c r="K152" s="24" t="str">
        <f t="shared" ca="1" si="46"/>
        <v>31-45 Group</v>
      </c>
      <c r="L152" s="1" t="s">
        <v>74</v>
      </c>
      <c r="M152" s="1" t="str">
        <f t="shared" si="47"/>
        <v>Sarah Taylor</v>
      </c>
      <c r="N152" s="1" t="str">
        <f t="shared" si="48"/>
        <v>Dermatology</v>
      </c>
      <c r="O152" s="24">
        <f t="shared" si="49"/>
        <v>26</v>
      </c>
      <c r="P152" s="14" t="str">
        <f t="shared" si="50"/>
        <v>Central</v>
      </c>
      <c r="Q152" s="1" t="str">
        <f t="shared" si="51"/>
        <v>Hospital</v>
      </c>
      <c r="R152" s="17"/>
    </row>
    <row r="153" spans="1:18" x14ac:dyDescent="0.25">
      <c r="A153" s="1" t="s">
        <v>145</v>
      </c>
      <c r="B153" s="2">
        <v>44932</v>
      </c>
      <c r="C153" s="4">
        <v>0.5625</v>
      </c>
      <c r="D153" s="1" t="s">
        <v>10</v>
      </c>
      <c r="E153" s="1" t="s">
        <v>19</v>
      </c>
      <c r="F153" s="1" t="s">
        <v>72</v>
      </c>
      <c r="G153" s="1" t="str">
        <f t="shared" si="42"/>
        <v>Michael Taylor</v>
      </c>
      <c r="H153" s="1" t="str">
        <f t="shared" si="43"/>
        <v>F</v>
      </c>
      <c r="I153" s="2">
        <f t="shared" si="44"/>
        <v>31656</v>
      </c>
      <c r="J153" s="24">
        <f t="shared" ca="1" si="45"/>
        <v>40</v>
      </c>
      <c r="K153" s="24" t="str">
        <f t="shared" ca="1" si="46"/>
        <v>31-45 Group</v>
      </c>
      <c r="L153" s="1" t="s">
        <v>32</v>
      </c>
      <c r="M153" s="1" t="str">
        <f t="shared" si="47"/>
        <v>Robert Davis</v>
      </c>
      <c r="N153" s="1" t="str">
        <f t="shared" si="48"/>
        <v>Oncology</v>
      </c>
      <c r="O153" s="24">
        <f t="shared" si="49"/>
        <v>26</v>
      </c>
      <c r="P153" s="14" t="str">
        <f t="shared" si="50"/>
        <v>Westside</v>
      </c>
      <c r="Q153" s="1" t="str">
        <f t="shared" si="51"/>
        <v>Clinic</v>
      </c>
      <c r="R153" s="17"/>
    </row>
    <row r="154" spans="1:18" x14ac:dyDescent="0.25">
      <c r="A154" s="1" t="s">
        <v>153</v>
      </c>
      <c r="B154" s="2">
        <v>45048</v>
      </c>
      <c r="C154" s="4">
        <v>0.6875</v>
      </c>
      <c r="D154" s="1" t="s">
        <v>29</v>
      </c>
      <c r="E154" s="1" t="s">
        <v>41</v>
      </c>
      <c r="F154" s="1" t="s">
        <v>154</v>
      </c>
      <c r="G154" s="1" t="str">
        <f t="shared" si="42"/>
        <v>David Davis</v>
      </c>
      <c r="H154" s="1" t="str">
        <f t="shared" si="43"/>
        <v>F</v>
      </c>
      <c r="I154" s="2">
        <f t="shared" si="44"/>
        <v>27946</v>
      </c>
      <c r="J154" s="24">
        <f t="shared" ca="1" si="45"/>
        <v>50</v>
      </c>
      <c r="K154" s="24" t="str">
        <f t="shared" ca="1" si="46"/>
        <v>46-60 Group</v>
      </c>
      <c r="L154" s="1" t="s">
        <v>74</v>
      </c>
      <c r="M154" s="1" t="str">
        <f t="shared" si="47"/>
        <v>Sarah Taylor</v>
      </c>
      <c r="N154" s="1" t="str">
        <f t="shared" si="48"/>
        <v>Dermatology</v>
      </c>
      <c r="O154" s="24">
        <f t="shared" si="49"/>
        <v>26</v>
      </c>
      <c r="P154" s="14" t="str">
        <f t="shared" si="50"/>
        <v>Central</v>
      </c>
      <c r="Q154" s="1" t="str">
        <f t="shared" si="51"/>
        <v>Hospital</v>
      </c>
      <c r="R154" s="17"/>
    </row>
    <row r="155" spans="1:18" x14ac:dyDescent="0.25">
      <c r="A155" s="1" t="s">
        <v>156</v>
      </c>
      <c r="B155" s="2">
        <v>45078</v>
      </c>
      <c r="C155" s="4">
        <v>0.72916666666666663</v>
      </c>
      <c r="D155" s="1" t="s">
        <v>26</v>
      </c>
      <c r="E155" s="1" t="s">
        <v>15</v>
      </c>
      <c r="F155" s="1" t="s">
        <v>52</v>
      </c>
      <c r="G155" s="1" t="str">
        <f t="shared" si="42"/>
        <v>John Taylor</v>
      </c>
      <c r="H155" s="1" t="str">
        <f t="shared" si="43"/>
        <v>M</v>
      </c>
      <c r="I155" s="2">
        <f t="shared" si="44"/>
        <v>37953</v>
      </c>
      <c r="J155" s="24">
        <f t="shared" ca="1" si="45"/>
        <v>22</v>
      </c>
      <c r="K155" s="24" t="str">
        <f t="shared" ca="1" si="46"/>
        <v>19-30 Group</v>
      </c>
      <c r="L155" s="1" t="s">
        <v>9</v>
      </c>
      <c r="M155" s="1" t="str">
        <f t="shared" si="47"/>
        <v>Sarah Smith</v>
      </c>
      <c r="N155" s="1" t="str">
        <f t="shared" si="48"/>
        <v>Pediatrics</v>
      </c>
      <c r="O155" s="24">
        <f t="shared" si="49"/>
        <v>26</v>
      </c>
      <c r="P155" s="14" t="str">
        <f t="shared" si="50"/>
        <v>Central</v>
      </c>
      <c r="Q155" s="1" t="str">
        <f t="shared" si="51"/>
        <v>Hospital</v>
      </c>
      <c r="R155" s="17"/>
    </row>
    <row r="156" spans="1:18" x14ac:dyDescent="0.25">
      <c r="A156" s="1" t="s">
        <v>162</v>
      </c>
      <c r="B156" s="2">
        <v>45055</v>
      </c>
      <c r="C156" s="4">
        <v>0.42708333333333331</v>
      </c>
      <c r="D156" s="1" t="s">
        <v>10</v>
      </c>
      <c r="E156" s="1" t="s">
        <v>19</v>
      </c>
      <c r="F156" s="1" t="s">
        <v>163</v>
      </c>
      <c r="G156" s="1" t="str">
        <f t="shared" si="42"/>
        <v>Alex Johnson</v>
      </c>
      <c r="H156" s="1" t="str">
        <f t="shared" si="43"/>
        <v>F</v>
      </c>
      <c r="I156" s="2">
        <f t="shared" si="44"/>
        <v>32667</v>
      </c>
      <c r="J156" s="24">
        <f t="shared" ca="1" si="45"/>
        <v>37</v>
      </c>
      <c r="K156" s="24" t="str">
        <f t="shared" ca="1" si="46"/>
        <v>31-45 Group</v>
      </c>
      <c r="L156" s="1" t="s">
        <v>9</v>
      </c>
      <c r="M156" s="1" t="str">
        <f t="shared" si="47"/>
        <v>Sarah Smith</v>
      </c>
      <c r="N156" s="1" t="str">
        <f t="shared" si="48"/>
        <v>Pediatrics</v>
      </c>
      <c r="O156" s="24">
        <f t="shared" si="49"/>
        <v>26</v>
      </c>
      <c r="P156" s="14" t="str">
        <f t="shared" si="50"/>
        <v>Central</v>
      </c>
      <c r="Q156" s="1" t="str">
        <f t="shared" si="51"/>
        <v>Hospital</v>
      </c>
      <c r="R156" s="17"/>
    </row>
    <row r="157" spans="1:18" x14ac:dyDescent="0.25">
      <c r="A157" s="1" t="s">
        <v>166</v>
      </c>
      <c r="B157" s="2">
        <v>45002</v>
      </c>
      <c r="C157" s="4">
        <v>0.54166666666666663</v>
      </c>
      <c r="D157" s="1" t="s">
        <v>26</v>
      </c>
      <c r="E157" s="1" t="s">
        <v>41</v>
      </c>
      <c r="F157" s="1" t="s">
        <v>28</v>
      </c>
      <c r="G157" s="1" t="str">
        <f t="shared" si="42"/>
        <v>Linda Miller</v>
      </c>
      <c r="H157" s="1" t="str">
        <f t="shared" si="43"/>
        <v>F</v>
      </c>
      <c r="I157" s="2">
        <f t="shared" si="44"/>
        <v>24222</v>
      </c>
      <c r="J157" s="24">
        <f t="shared" ca="1" si="45"/>
        <v>60</v>
      </c>
      <c r="K157" s="24" t="str">
        <f t="shared" ca="1" si="46"/>
        <v>46-60 Group</v>
      </c>
      <c r="L157" s="1" t="s">
        <v>74</v>
      </c>
      <c r="M157" s="1" t="str">
        <f t="shared" si="47"/>
        <v>Sarah Taylor</v>
      </c>
      <c r="N157" s="1" t="str">
        <f t="shared" si="48"/>
        <v>Dermatology</v>
      </c>
      <c r="O157" s="24">
        <f t="shared" si="49"/>
        <v>26</v>
      </c>
      <c r="P157" s="14" t="str">
        <f t="shared" si="50"/>
        <v>Central</v>
      </c>
      <c r="Q157" s="1" t="str">
        <f t="shared" si="51"/>
        <v>Hospital</v>
      </c>
      <c r="R157" s="17"/>
    </row>
    <row r="158" spans="1:18" x14ac:dyDescent="0.25">
      <c r="A158" s="1" t="s">
        <v>167</v>
      </c>
      <c r="B158" s="2">
        <v>45111</v>
      </c>
      <c r="C158" s="4">
        <v>0.625</v>
      </c>
      <c r="D158" s="1" t="s">
        <v>29</v>
      </c>
      <c r="E158" s="1" t="s">
        <v>41</v>
      </c>
      <c r="F158" s="1" t="s">
        <v>168</v>
      </c>
      <c r="G158" s="1" t="str">
        <f t="shared" si="42"/>
        <v>Emily Jones</v>
      </c>
      <c r="H158" s="1" t="str">
        <f t="shared" si="43"/>
        <v>F</v>
      </c>
      <c r="I158" s="2">
        <f t="shared" si="44"/>
        <v>24445</v>
      </c>
      <c r="J158" s="24">
        <f t="shared" ca="1" si="45"/>
        <v>59</v>
      </c>
      <c r="K158" s="24" t="str">
        <f t="shared" ca="1" si="46"/>
        <v>46-60 Group</v>
      </c>
      <c r="L158" s="1" t="s">
        <v>32</v>
      </c>
      <c r="M158" s="1" t="str">
        <f t="shared" si="47"/>
        <v>Robert Davis</v>
      </c>
      <c r="N158" s="1" t="str">
        <f t="shared" si="48"/>
        <v>Oncology</v>
      </c>
      <c r="O158" s="24">
        <f t="shared" si="49"/>
        <v>26</v>
      </c>
      <c r="P158" s="14" t="str">
        <f t="shared" si="50"/>
        <v>Westside</v>
      </c>
      <c r="Q158" s="1" t="str">
        <f t="shared" si="51"/>
        <v>Clinic</v>
      </c>
      <c r="R158" s="17"/>
    </row>
    <row r="159" spans="1:18" x14ac:dyDescent="0.25">
      <c r="A159" s="1" t="s">
        <v>171</v>
      </c>
      <c r="B159" s="2">
        <v>45224</v>
      </c>
      <c r="C159" s="4">
        <v>0.375</v>
      </c>
      <c r="D159" s="1" t="s">
        <v>29</v>
      </c>
      <c r="E159" s="1" t="s">
        <v>15</v>
      </c>
      <c r="F159" s="1" t="s">
        <v>21</v>
      </c>
      <c r="G159" s="1" t="str">
        <f t="shared" si="42"/>
        <v>Robert Wilson</v>
      </c>
      <c r="H159" s="1" t="str">
        <f t="shared" si="43"/>
        <v>M</v>
      </c>
      <c r="I159" s="2">
        <f t="shared" si="44"/>
        <v>24333</v>
      </c>
      <c r="J159" s="24">
        <f t="shared" ca="1" si="45"/>
        <v>60</v>
      </c>
      <c r="K159" s="24" t="str">
        <f t="shared" ca="1" si="46"/>
        <v>46-60 Group</v>
      </c>
      <c r="L159" s="1" t="s">
        <v>74</v>
      </c>
      <c r="M159" s="1" t="str">
        <f t="shared" si="47"/>
        <v>Sarah Taylor</v>
      </c>
      <c r="N159" s="1" t="str">
        <f t="shared" si="48"/>
        <v>Dermatology</v>
      </c>
      <c r="O159" s="24">
        <f t="shared" si="49"/>
        <v>26</v>
      </c>
      <c r="P159" s="14" t="str">
        <f t="shared" si="50"/>
        <v>Central</v>
      </c>
      <c r="Q159" s="1" t="str">
        <f t="shared" si="51"/>
        <v>Hospital</v>
      </c>
      <c r="R159" s="17"/>
    </row>
    <row r="160" spans="1:18" x14ac:dyDescent="0.25">
      <c r="A160" s="1" t="s">
        <v>172</v>
      </c>
      <c r="B160" s="2">
        <v>44950</v>
      </c>
      <c r="C160" s="4">
        <v>0.35416666666666669</v>
      </c>
      <c r="D160" s="1" t="s">
        <v>10</v>
      </c>
      <c r="E160" s="1" t="s">
        <v>19</v>
      </c>
      <c r="F160" s="1" t="s">
        <v>81</v>
      </c>
      <c r="G160" s="1" t="str">
        <f t="shared" si="42"/>
        <v>Michael Wilson</v>
      </c>
      <c r="H160" s="1" t="str">
        <f t="shared" si="43"/>
        <v>M</v>
      </c>
      <c r="I160" s="2">
        <f t="shared" si="44"/>
        <v>37316</v>
      </c>
      <c r="J160" s="24">
        <f t="shared" ca="1" si="45"/>
        <v>24</v>
      </c>
      <c r="K160" s="24" t="str">
        <f t="shared" ca="1" si="46"/>
        <v>19-30 Group</v>
      </c>
      <c r="L160" s="1" t="s">
        <v>74</v>
      </c>
      <c r="M160" s="1" t="str">
        <f t="shared" si="47"/>
        <v>Sarah Taylor</v>
      </c>
      <c r="N160" s="1" t="str">
        <f t="shared" si="48"/>
        <v>Dermatology</v>
      </c>
      <c r="O160" s="24">
        <f t="shared" si="49"/>
        <v>26</v>
      </c>
      <c r="P160" s="14" t="str">
        <f t="shared" si="50"/>
        <v>Central</v>
      </c>
      <c r="Q160" s="1" t="str">
        <f t="shared" si="51"/>
        <v>Hospital</v>
      </c>
      <c r="R160" s="17"/>
    </row>
    <row r="161" spans="1:18" x14ac:dyDescent="0.25">
      <c r="A161" s="1" t="s">
        <v>175</v>
      </c>
      <c r="B161" s="2">
        <v>45228</v>
      </c>
      <c r="C161" s="4">
        <v>0.46875</v>
      </c>
      <c r="D161" s="1" t="s">
        <v>10</v>
      </c>
      <c r="E161" s="1" t="s">
        <v>11</v>
      </c>
      <c r="F161" s="1" t="s">
        <v>56</v>
      </c>
      <c r="G161" s="1" t="str">
        <f t="shared" si="42"/>
        <v>Robert Williams</v>
      </c>
      <c r="H161" s="1" t="str">
        <f t="shared" si="43"/>
        <v>M</v>
      </c>
      <c r="I161" s="2">
        <f t="shared" si="44"/>
        <v>36196</v>
      </c>
      <c r="J161" s="24">
        <f t="shared" ca="1" si="45"/>
        <v>27</v>
      </c>
      <c r="K161" s="24" t="str">
        <f t="shared" ca="1" si="46"/>
        <v>19-30 Group</v>
      </c>
      <c r="L161" s="1" t="s">
        <v>74</v>
      </c>
      <c r="M161" s="1" t="str">
        <f t="shared" si="47"/>
        <v>Sarah Taylor</v>
      </c>
      <c r="N161" s="1" t="str">
        <f t="shared" si="48"/>
        <v>Dermatology</v>
      </c>
      <c r="O161" s="24">
        <f t="shared" si="49"/>
        <v>26</v>
      </c>
      <c r="P161" s="14" t="str">
        <f t="shared" si="50"/>
        <v>Central</v>
      </c>
      <c r="Q161" s="1" t="str">
        <f t="shared" si="51"/>
        <v>Hospital</v>
      </c>
      <c r="R161" s="17"/>
    </row>
    <row r="162" spans="1:18" x14ac:dyDescent="0.25">
      <c r="A162" s="1" t="s">
        <v>176</v>
      </c>
      <c r="B162" s="2">
        <v>45033</v>
      </c>
      <c r="C162" s="4">
        <v>0.57291666666666663</v>
      </c>
      <c r="D162" s="1" t="s">
        <v>38</v>
      </c>
      <c r="E162" s="1" t="s">
        <v>41</v>
      </c>
      <c r="F162" s="1" t="s">
        <v>177</v>
      </c>
      <c r="G162" s="1" t="str">
        <f t="shared" ref="G162:G193" si="52">VLOOKUP(F162,$CX$1:$DI$51,12,FALSE)</f>
        <v>Laura Davis</v>
      </c>
      <c r="H162" s="1" t="str">
        <f t="shared" ref="H162:H193" si="53">VLOOKUP(F162,$CX$1:$DI$51,4,FALSE)</f>
        <v>M</v>
      </c>
      <c r="I162" s="2">
        <f t="shared" ref="I162:I193" si="54">VLOOKUP(F162,$CX$1:$DI$51,5,FALSE)</f>
        <v>26278</v>
      </c>
      <c r="J162" s="24">
        <f t="shared" ref="J162:J193" ca="1" si="55">DATEDIF(I162,TODAY(),"Y")</f>
        <v>54</v>
      </c>
      <c r="K162" s="24" t="str">
        <f t="shared" ref="K162:K193" ca="1" si="56">_xlfn.IFS(J162&lt;=18,"0-18 Group",J162&lt;=30,"19-30 Group",J162&lt;=45,"31-45 Group",J162&lt;=60,"46-60 Group",J162&gt;60,"60+ ")</f>
        <v>46-60 Group</v>
      </c>
      <c r="L162" s="1" t="s">
        <v>32</v>
      </c>
      <c r="M162" s="1" t="str">
        <f t="shared" ref="M162:M193" si="57">VLOOKUP(L162,$CL$1:$CU$11,10,FALSE)</f>
        <v>Robert Davis</v>
      </c>
      <c r="N162" s="1" t="str">
        <f t="shared" ref="N162:N193" si="58">VLOOKUP(L162,$CL$1:$CU$11,4,FALSE)</f>
        <v>Oncology</v>
      </c>
      <c r="O162" s="24">
        <f t="shared" ref="O162:O193" si="59">VLOOKUP(L162,$CL$1:$CU$11,6,FALSE)</f>
        <v>26</v>
      </c>
      <c r="P162" s="14" t="str">
        <f t="shared" ref="P162:P193" si="60">VLOOKUP(L162,$CL$1:$CU$11,7,FALSE)</f>
        <v>Westside</v>
      </c>
      <c r="Q162" s="1" t="str">
        <f t="shared" ref="Q162:Q193" si="61">VLOOKUP(L162,$CL$1:$CU$11,8,FALSE)</f>
        <v>Clinic</v>
      </c>
      <c r="R162" s="17"/>
    </row>
    <row r="163" spans="1:18" x14ac:dyDescent="0.25">
      <c r="A163" s="1" t="s">
        <v>178</v>
      </c>
      <c r="B163" s="2">
        <v>45037</v>
      </c>
      <c r="C163" s="4">
        <v>0.625</v>
      </c>
      <c r="D163" s="1" t="s">
        <v>26</v>
      </c>
      <c r="E163" s="1" t="s">
        <v>19</v>
      </c>
      <c r="F163" s="1" t="s">
        <v>109</v>
      </c>
      <c r="G163" s="1" t="str">
        <f t="shared" si="52"/>
        <v>Sarah Brown</v>
      </c>
      <c r="H163" s="1" t="str">
        <f t="shared" si="53"/>
        <v>F</v>
      </c>
      <c r="I163" s="2">
        <f t="shared" si="54"/>
        <v>33546</v>
      </c>
      <c r="J163" s="24">
        <f t="shared" ca="1" si="55"/>
        <v>34</v>
      </c>
      <c r="K163" s="24" t="str">
        <f t="shared" ca="1" si="56"/>
        <v>31-45 Group</v>
      </c>
      <c r="L163" s="1" t="s">
        <v>74</v>
      </c>
      <c r="M163" s="1" t="str">
        <f t="shared" si="57"/>
        <v>Sarah Taylor</v>
      </c>
      <c r="N163" s="1" t="str">
        <f t="shared" si="58"/>
        <v>Dermatology</v>
      </c>
      <c r="O163" s="24">
        <f t="shared" si="59"/>
        <v>26</v>
      </c>
      <c r="P163" s="14" t="str">
        <f t="shared" si="60"/>
        <v>Central</v>
      </c>
      <c r="Q163" s="1" t="str">
        <f t="shared" si="61"/>
        <v>Hospital</v>
      </c>
      <c r="R163" s="17"/>
    </row>
    <row r="164" spans="1:18" x14ac:dyDescent="0.25">
      <c r="A164" s="1" t="s">
        <v>179</v>
      </c>
      <c r="B164" s="2">
        <v>45136</v>
      </c>
      <c r="C164" s="4">
        <v>0.58333333333333337</v>
      </c>
      <c r="D164" s="1" t="s">
        <v>38</v>
      </c>
      <c r="E164" s="1" t="s">
        <v>11</v>
      </c>
      <c r="F164" s="1" t="s">
        <v>125</v>
      </c>
      <c r="G164" s="1" t="str">
        <f t="shared" si="52"/>
        <v>David Wilson</v>
      </c>
      <c r="H164" s="1" t="str">
        <f t="shared" si="53"/>
        <v>F</v>
      </c>
      <c r="I164" s="2">
        <f t="shared" si="54"/>
        <v>34072</v>
      </c>
      <c r="J164" s="24">
        <f t="shared" ca="1" si="55"/>
        <v>33</v>
      </c>
      <c r="K164" s="24" t="str">
        <f t="shared" ca="1" si="56"/>
        <v>31-45 Group</v>
      </c>
      <c r="L164" s="1" t="s">
        <v>74</v>
      </c>
      <c r="M164" s="1" t="str">
        <f t="shared" si="57"/>
        <v>Sarah Taylor</v>
      </c>
      <c r="N164" s="1" t="str">
        <f t="shared" si="58"/>
        <v>Dermatology</v>
      </c>
      <c r="O164" s="24">
        <f t="shared" si="59"/>
        <v>26</v>
      </c>
      <c r="P164" s="14" t="str">
        <f t="shared" si="60"/>
        <v>Central</v>
      </c>
      <c r="Q164" s="1" t="str">
        <f t="shared" si="61"/>
        <v>Hospital</v>
      </c>
      <c r="R164" s="17"/>
    </row>
    <row r="165" spans="1:18" x14ac:dyDescent="0.25">
      <c r="A165" s="1" t="s">
        <v>180</v>
      </c>
      <c r="B165" s="2">
        <v>45126</v>
      </c>
      <c r="C165" s="4">
        <v>0.60416666666666663</v>
      </c>
      <c r="D165" s="1" t="s">
        <v>18</v>
      </c>
      <c r="E165" s="1" t="s">
        <v>11</v>
      </c>
      <c r="F165" s="1" t="s">
        <v>68</v>
      </c>
      <c r="G165" s="1" t="str">
        <f t="shared" si="52"/>
        <v>David Moore</v>
      </c>
      <c r="H165" s="1" t="str">
        <f t="shared" si="53"/>
        <v>M</v>
      </c>
      <c r="I165" s="2">
        <f t="shared" si="54"/>
        <v>26629</v>
      </c>
      <c r="J165" s="24">
        <f t="shared" ca="1" si="55"/>
        <v>53</v>
      </c>
      <c r="K165" s="24" t="str">
        <f t="shared" ca="1" si="56"/>
        <v>46-60 Group</v>
      </c>
      <c r="L165" s="1" t="s">
        <v>74</v>
      </c>
      <c r="M165" s="1" t="str">
        <f t="shared" si="57"/>
        <v>Sarah Taylor</v>
      </c>
      <c r="N165" s="1" t="str">
        <f t="shared" si="58"/>
        <v>Dermatology</v>
      </c>
      <c r="O165" s="24">
        <f t="shared" si="59"/>
        <v>26</v>
      </c>
      <c r="P165" s="14" t="str">
        <f t="shared" si="60"/>
        <v>Central</v>
      </c>
      <c r="Q165" s="1" t="str">
        <f t="shared" si="61"/>
        <v>Hospital</v>
      </c>
      <c r="R165" s="17"/>
    </row>
    <row r="166" spans="1:18" x14ac:dyDescent="0.25">
      <c r="A166" s="1" t="s">
        <v>186</v>
      </c>
      <c r="B166" s="2">
        <v>45224</v>
      </c>
      <c r="C166" s="4">
        <v>0.4375</v>
      </c>
      <c r="D166" s="1" t="s">
        <v>10</v>
      </c>
      <c r="E166" s="1" t="s">
        <v>15</v>
      </c>
      <c r="F166" s="1" t="s">
        <v>68</v>
      </c>
      <c r="G166" s="1" t="str">
        <f t="shared" si="52"/>
        <v>David Moore</v>
      </c>
      <c r="H166" s="1" t="str">
        <f t="shared" si="53"/>
        <v>M</v>
      </c>
      <c r="I166" s="2">
        <f t="shared" si="54"/>
        <v>26629</v>
      </c>
      <c r="J166" s="24">
        <f t="shared" ca="1" si="55"/>
        <v>53</v>
      </c>
      <c r="K166" s="24" t="str">
        <f t="shared" ca="1" si="56"/>
        <v>46-60 Group</v>
      </c>
      <c r="L166" s="1" t="s">
        <v>74</v>
      </c>
      <c r="M166" s="1" t="str">
        <f t="shared" si="57"/>
        <v>Sarah Taylor</v>
      </c>
      <c r="N166" s="1" t="str">
        <f t="shared" si="58"/>
        <v>Dermatology</v>
      </c>
      <c r="O166" s="24">
        <f t="shared" si="59"/>
        <v>26</v>
      </c>
      <c r="P166" s="14" t="str">
        <f t="shared" si="60"/>
        <v>Central</v>
      </c>
      <c r="Q166" s="1" t="str">
        <f t="shared" si="61"/>
        <v>Hospital</v>
      </c>
      <c r="R166" s="17"/>
    </row>
    <row r="167" spans="1:18" x14ac:dyDescent="0.25">
      <c r="A167" s="1" t="s">
        <v>187</v>
      </c>
      <c r="B167" s="2">
        <v>45114</v>
      </c>
      <c r="C167" s="4">
        <v>0.38541666666666669</v>
      </c>
      <c r="D167" s="1" t="s">
        <v>38</v>
      </c>
      <c r="E167" s="1" t="s">
        <v>15</v>
      </c>
      <c r="F167" s="1" t="s">
        <v>37</v>
      </c>
      <c r="G167" s="1" t="str">
        <f t="shared" si="52"/>
        <v>Jane Wilson</v>
      </c>
      <c r="H167" s="1" t="str">
        <f t="shared" si="53"/>
        <v>F</v>
      </c>
      <c r="I167" s="2">
        <f t="shared" si="54"/>
        <v>18609</v>
      </c>
      <c r="J167" s="24">
        <f t="shared" ca="1" si="55"/>
        <v>75</v>
      </c>
      <c r="K167" s="24" t="str">
        <f t="shared" ca="1" si="56"/>
        <v xml:space="preserve">60+ </v>
      </c>
      <c r="L167" s="1" t="s">
        <v>9</v>
      </c>
      <c r="M167" s="1" t="str">
        <f t="shared" si="57"/>
        <v>Sarah Smith</v>
      </c>
      <c r="N167" s="1" t="str">
        <f t="shared" si="58"/>
        <v>Pediatrics</v>
      </c>
      <c r="O167" s="24">
        <f t="shared" si="59"/>
        <v>26</v>
      </c>
      <c r="P167" s="14" t="str">
        <f t="shared" si="60"/>
        <v>Central</v>
      </c>
      <c r="Q167" s="1" t="str">
        <f t="shared" si="61"/>
        <v>Hospital</v>
      </c>
      <c r="R167" s="17"/>
    </row>
    <row r="168" spans="1:18" x14ac:dyDescent="0.25">
      <c r="A168" s="1" t="s">
        <v>196</v>
      </c>
      <c r="B168" s="2">
        <v>44975</v>
      </c>
      <c r="C168" s="4">
        <v>0.42708333333333331</v>
      </c>
      <c r="D168" s="1" t="s">
        <v>29</v>
      </c>
      <c r="E168" s="1" t="s">
        <v>41</v>
      </c>
      <c r="F168" s="1" t="s">
        <v>90</v>
      </c>
      <c r="G168" s="1" t="str">
        <f t="shared" si="52"/>
        <v>Linda Johnson</v>
      </c>
      <c r="H168" s="1" t="str">
        <f t="shared" si="53"/>
        <v>M</v>
      </c>
      <c r="I168" s="2">
        <f t="shared" si="54"/>
        <v>34387</v>
      </c>
      <c r="J168" s="24">
        <f t="shared" ca="1" si="55"/>
        <v>32</v>
      </c>
      <c r="K168" s="24" t="str">
        <f t="shared" ca="1" si="56"/>
        <v>31-45 Group</v>
      </c>
      <c r="L168" s="1" t="s">
        <v>32</v>
      </c>
      <c r="M168" s="1" t="str">
        <f t="shared" si="57"/>
        <v>Robert Davis</v>
      </c>
      <c r="N168" s="1" t="str">
        <f t="shared" si="58"/>
        <v>Oncology</v>
      </c>
      <c r="O168" s="24">
        <f t="shared" si="59"/>
        <v>26</v>
      </c>
      <c r="P168" s="14" t="str">
        <f t="shared" si="60"/>
        <v>Westside</v>
      </c>
      <c r="Q168" s="1" t="str">
        <f t="shared" si="61"/>
        <v>Clinic</v>
      </c>
      <c r="R168" s="17"/>
    </row>
    <row r="169" spans="1:18" x14ac:dyDescent="0.25">
      <c r="A169" s="1" t="s">
        <v>206</v>
      </c>
      <c r="B169" s="2">
        <v>45178</v>
      </c>
      <c r="C169" s="4">
        <v>0.6875</v>
      </c>
      <c r="D169" s="1" t="s">
        <v>10</v>
      </c>
      <c r="E169" s="1" t="s">
        <v>11</v>
      </c>
      <c r="F169" s="1" t="s">
        <v>43</v>
      </c>
      <c r="G169" s="1" t="str">
        <f t="shared" si="52"/>
        <v>John Brown</v>
      </c>
      <c r="H169" s="1" t="str">
        <f t="shared" si="53"/>
        <v>M</v>
      </c>
      <c r="I169" s="2">
        <f t="shared" si="54"/>
        <v>20219</v>
      </c>
      <c r="J169" s="24">
        <f t="shared" ca="1" si="55"/>
        <v>71</v>
      </c>
      <c r="K169" s="24" t="str">
        <f t="shared" ca="1" si="56"/>
        <v xml:space="preserve">60+ </v>
      </c>
      <c r="L169" s="1" t="s">
        <v>74</v>
      </c>
      <c r="M169" s="1" t="str">
        <f t="shared" si="57"/>
        <v>Sarah Taylor</v>
      </c>
      <c r="N169" s="1" t="str">
        <f t="shared" si="58"/>
        <v>Dermatology</v>
      </c>
      <c r="O169" s="24">
        <f t="shared" si="59"/>
        <v>26</v>
      </c>
      <c r="P169" s="14" t="str">
        <f t="shared" si="60"/>
        <v>Central</v>
      </c>
      <c r="Q169" s="1" t="str">
        <f t="shared" si="61"/>
        <v>Hospital</v>
      </c>
      <c r="R169" s="17"/>
    </row>
    <row r="170" spans="1:18" x14ac:dyDescent="0.25">
      <c r="A170" s="1" t="s">
        <v>207</v>
      </c>
      <c r="B170" s="2">
        <v>45059</v>
      </c>
      <c r="C170" s="4">
        <v>0.52083333333333337</v>
      </c>
      <c r="D170" s="1" t="s">
        <v>38</v>
      </c>
      <c r="E170" s="1" t="s">
        <v>41</v>
      </c>
      <c r="F170" s="1" t="s">
        <v>142</v>
      </c>
      <c r="G170" s="1" t="str">
        <f t="shared" si="52"/>
        <v>Laura Johnson</v>
      </c>
      <c r="H170" s="1" t="str">
        <f t="shared" si="53"/>
        <v>F</v>
      </c>
      <c r="I170" s="2">
        <f t="shared" si="54"/>
        <v>32960</v>
      </c>
      <c r="J170" s="24">
        <f t="shared" ca="1" si="55"/>
        <v>36</v>
      </c>
      <c r="K170" s="24" t="str">
        <f t="shared" ca="1" si="56"/>
        <v>31-45 Group</v>
      </c>
      <c r="L170" s="1" t="s">
        <v>9</v>
      </c>
      <c r="M170" s="1" t="str">
        <f t="shared" si="57"/>
        <v>Sarah Smith</v>
      </c>
      <c r="N170" s="1" t="str">
        <f t="shared" si="58"/>
        <v>Pediatrics</v>
      </c>
      <c r="O170" s="24">
        <f t="shared" si="59"/>
        <v>26</v>
      </c>
      <c r="P170" s="14" t="str">
        <f t="shared" si="60"/>
        <v>Central</v>
      </c>
      <c r="Q170" s="1" t="str">
        <f t="shared" si="61"/>
        <v>Hospital</v>
      </c>
      <c r="R170" s="17"/>
    </row>
    <row r="171" spans="1:18" x14ac:dyDescent="0.25">
      <c r="A171" s="1" t="s">
        <v>209</v>
      </c>
      <c r="B171" s="2">
        <v>45286</v>
      </c>
      <c r="C171" s="4">
        <v>0.63541666666666663</v>
      </c>
      <c r="D171" s="1" t="s">
        <v>38</v>
      </c>
      <c r="E171" s="1" t="s">
        <v>15</v>
      </c>
      <c r="F171" s="1" t="s">
        <v>68</v>
      </c>
      <c r="G171" s="1" t="str">
        <f t="shared" si="52"/>
        <v>David Moore</v>
      </c>
      <c r="H171" s="1" t="str">
        <f t="shared" si="53"/>
        <v>M</v>
      </c>
      <c r="I171" s="2">
        <f t="shared" si="54"/>
        <v>26629</v>
      </c>
      <c r="J171" s="24">
        <f t="shared" ca="1" si="55"/>
        <v>53</v>
      </c>
      <c r="K171" s="24" t="str">
        <f t="shared" ca="1" si="56"/>
        <v>46-60 Group</v>
      </c>
      <c r="L171" s="1" t="s">
        <v>32</v>
      </c>
      <c r="M171" s="1" t="str">
        <f t="shared" si="57"/>
        <v>Robert Davis</v>
      </c>
      <c r="N171" s="1" t="str">
        <f t="shared" si="58"/>
        <v>Oncology</v>
      </c>
      <c r="O171" s="24">
        <f t="shared" si="59"/>
        <v>26</v>
      </c>
      <c r="P171" s="14" t="str">
        <f t="shared" si="60"/>
        <v>Westside</v>
      </c>
      <c r="Q171" s="1" t="str">
        <f t="shared" si="61"/>
        <v>Clinic</v>
      </c>
      <c r="R171" s="17"/>
    </row>
    <row r="172" spans="1:18" x14ac:dyDescent="0.25">
      <c r="A172" s="1" t="s">
        <v>210</v>
      </c>
      <c r="B172" s="2">
        <v>45209</v>
      </c>
      <c r="C172" s="4">
        <v>0.44791666666666669</v>
      </c>
      <c r="D172" s="1" t="s">
        <v>10</v>
      </c>
      <c r="E172" s="1" t="s">
        <v>15</v>
      </c>
      <c r="F172" s="1" t="s">
        <v>84</v>
      </c>
      <c r="G172" s="1" t="str">
        <f t="shared" si="52"/>
        <v>Michael Wilson</v>
      </c>
      <c r="H172" s="1" t="str">
        <f t="shared" si="53"/>
        <v>M</v>
      </c>
      <c r="I172" s="2">
        <f t="shared" si="54"/>
        <v>35790</v>
      </c>
      <c r="J172" s="24">
        <f t="shared" ca="1" si="55"/>
        <v>28</v>
      </c>
      <c r="K172" s="24" t="str">
        <f t="shared" ca="1" si="56"/>
        <v>19-30 Group</v>
      </c>
      <c r="L172" s="1" t="s">
        <v>74</v>
      </c>
      <c r="M172" s="1" t="str">
        <f t="shared" si="57"/>
        <v>Sarah Taylor</v>
      </c>
      <c r="N172" s="1" t="str">
        <f t="shared" si="58"/>
        <v>Dermatology</v>
      </c>
      <c r="O172" s="24">
        <f t="shared" si="59"/>
        <v>26</v>
      </c>
      <c r="P172" s="14" t="str">
        <f t="shared" si="60"/>
        <v>Central</v>
      </c>
      <c r="Q172" s="1" t="str">
        <f t="shared" si="61"/>
        <v>Hospital</v>
      </c>
      <c r="R172" s="17"/>
    </row>
    <row r="173" spans="1:18" x14ac:dyDescent="0.25">
      <c r="A173" s="1" t="s">
        <v>211</v>
      </c>
      <c r="B173" s="2">
        <v>44962</v>
      </c>
      <c r="C173" s="4">
        <v>0.63541666666666663</v>
      </c>
      <c r="D173" s="1" t="s">
        <v>29</v>
      </c>
      <c r="E173" s="1" t="s">
        <v>15</v>
      </c>
      <c r="F173" s="1" t="s">
        <v>50</v>
      </c>
      <c r="G173" s="1" t="str">
        <f t="shared" si="52"/>
        <v>Laura Davis</v>
      </c>
      <c r="H173" s="1" t="str">
        <f t="shared" si="53"/>
        <v>F</v>
      </c>
      <c r="I173" s="2">
        <f t="shared" si="54"/>
        <v>33580</v>
      </c>
      <c r="J173" s="24">
        <f t="shared" ca="1" si="55"/>
        <v>34</v>
      </c>
      <c r="K173" s="24" t="str">
        <f t="shared" ca="1" si="56"/>
        <v>31-45 Group</v>
      </c>
      <c r="L173" s="1" t="s">
        <v>74</v>
      </c>
      <c r="M173" s="1" t="str">
        <f t="shared" si="57"/>
        <v>Sarah Taylor</v>
      </c>
      <c r="N173" s="1" t="str">
        <f t="shared" si="58"/>
        <v>Dermatology</v>
      </c>
      <c r="O173" s="24">
        <f t="shared" si="59"/>
        <v>26</v>
      </c>
      <c r="P173" s="14" t="str">
        <f t="shared" si="60"/>
        <v>Central</v>
      </c>
      <c r="Q173" s="1" t="str">
        <f t="shared" si="61"/>
        <v>Hospital</v>
      </c>
      <c r="R173" s="17"/>
    </row>
    <row r="174" spans="1:18" x14ac:dyDescent="0.25">
      <c r="A174" s="1" t="s">
        <v>214</v>
      </c>
      <c r="B174" s="2">
        <v>45190</v>
      </c>
      <c r="C174" s="4">
        <v>0.51041666666666663</v>
      </c>
      <c r="D174" s="1" t="s">
        <v>29</v>
      </c>
      <c r="E174" s="1" t="s">
        <v>19</v>
      </c>
      <c r="F174" s="1" t="s">
        <v>50</v>
      </c>
      <c r="G174" s="1" t="str">
        <f t="shared" si="52"/>
        <v>Laura Davis</v>
      </c>
      <c r="H174" s="1" t="str">
        <f t="shared" si="53"/>
        <v>F</v>
      </c>
      <c r="I174" s="2">
        <f t="shared" si="54"/>
        <v>33580</v>
      </c>
      <c r="J174" s="24">
        <f t="shared" ca="1" si="55"/>
        <v>34</v>
      </c>
      <c r="K174" s="24" t="str">
        <f t="shared" ca="1" si="56"/>
        <v>31-45 Group</v>
      </c>
      <c r="L174" s="1" t="s">
        <v>32</v>
      </c>
      <c r="M174" s="1" t="str">
        <f t="shared" si="57"/>
        <v>Robert Davis</v>
      </c>
      <c r="N174" s="1" t="str">
        <f t="shared" si="58"/>
        <v>Oncology</v>
      </c>
      <c r="O174" s="24">
        <f t="shared" si="59"/>
        <v>26</v>
      </c>
      <c r="P174" s="14" t="str">
        <f t="shared" si="60"/>
        <v>Westside</v>
      </c>
      <c r="Q174" s="1" t="str">
        <f t="shared" si="61"/>
        <v>Clinic</v>
      </c>
      <c r="R174" s="17"/>
    </row>
    <row r="175" spans="1:18" x14ac:dyDescent="0.25">
      <c r="A175" s="1" t="s">
        <v>224</v>
      </c>
      <c r="B175" s="2">
        <v>45115</v>
      </c>
      <c r="C175" s="4">
        <v>0.53125</v>
      </c>
      <c r="D175" s="1" t="s">
        <v>18</v>
      </c>
      <c r="E175" s="1" t="s">
        <v>41</v>
      </c>
      <c r="F175" s="1" t="s">
        <v>125</v>
      </c>
      <c r="G175" s="1" t="str">
        <f t="shared" si="52"/>
        <v>David Wilson</v>
      </c>
      <c r="H175" s="1" t="str">
        <f t="shared" si="53"/>
        <v>F</v>
      </c>
      <c r="I175" s="2">
        <f t="shared" si="54"/>
        <v>34072</v>
      </c>
      <c r="J175" s="24">
        <f t="shared" ca="1" si="55"/>
        <v>33</v>
      </c>
      <c r="K175" s="24" t="str">
        <f t="shared" ca="1" si="56"/>
        <v>31-45 Group</v>
      </c>
      <c r="L175" s="1" t="s">
        <v>9</v>
      </c>
      <c r="M175" s="1" t="str">
        <f t="shared" si="57"/>
        <v>Sarah Smith</v>
      </c>
      <c r="N175" s="1" t="str">
        <f t="shared" si="58"/>
        <v>Pediatrics</v>
      </c>
      <c r="O175" s="24">
        <f t="shared" si="59"/>
        <v>26</v>
      </c>
      <c r="P175" s="14" t="str">
        <f t="shared" si="60"/>
        <v>Central</v>
      </c>
      <c r="Q175" s="1" t="str">
        <f t="shared" si="61"/>
        <v>Hospital</v>
      </c>
      <c r="R175" s="17"/>
    </row>
    <row r="176" spans="1:18" x14ac:dyDescent="0.25">
      <c r="A176" s="1" t="s">
        <v>228</v>
      </c>
      <c r="B176" s="2">
        <v>45058</v>
      </c>
      <c r="C176" s="4">
        <v>0.45833333333333331</v>
      </c>
      <c r="D176" s="1" t="s">
        <v>38</v>
      </c>
      <c r="E176" s="1" t="s">
        <v>41</v>
      </c>
      <c r="F176" s="1" t="s">
        <v>84</v>
      </c>
      <c r="G176" s="1" t="str">
        <f t="shared" si="52"/>
        <v>Michael Wilson</v>
      </c>
      <c r="H176" s="1" t="str">
        <f t="shared" si="53"/>
        <v>M</v>
      </c>
      <c r="I176" s="2">
        <f t="shared" si="54"/>
        <v>35790</v>
      </c>
      <c r="J176" s="24">
        <f t="shared" ca="1" si="55"/>
        <v>28</v>
      </c>
      <c r="K176" s="24" t="str">
        <f t="shared" ca="1" si="56"/>
        <v>19-30 Group</v>
      </c>
      <c r="L176" s="1" t="s">
        <v>32</v>
      </c>
      <c r="M176" s="1" t="str">
        <f t="shared" si="57"/>
        <v>Robert Davis</v>
      </c>
      <c r="N176" s="1" t="str">
        <f t="shared" si="58"/>
        <v>Oncology</v>
      </c>
      <c r="O176" s="24">
        <f t="shared" si="59"/>
        <v>26</v>
      </c>
      <c r="P176" s="14" t="str">
        <f t="shared" si="60"/>
        <v>Westside</v>
      </c>
      <c r="Q176" s="1" t="str">
        <f t="shared" si="61"/>
        <v>Clinic</v>
      </c>
      <c r="R176" s="17"/>
    </row>
    <row r="177" spans="1:18" x14ac:dyDescent="0.25">
      <c r="A177" s="1" t="s">
        <v>232</v>
      </c>
      <c r="B177" s="2">
        <v>45094</v>
      </c>
      <c r="C177" s="4">
        <v>0.44791666666666669</v>
      </c>
      <c r="D177" s="1" t="s">
        <v>18</v>
      </c>
      <c r="E177" s="1" t="s">
        <v>11</v>
      </c>
      <c r="F177" s="1" t="s">
        <v>28</v>
      </c>
      <c r="G177" s="1" t="str">
        <f t="shared" si="52"/>
        <v>Linda Miller</v>
      </c>
      <c r="H177" s="1" t="str">
        <f t="shared" si="53"/>
        <v>F</v>
      </c>
      <c r="I177" s="2">
        <f t="shared" si="54"/>
        <v>24222</v>
      </c>
      <c r="J177" s="24">
        <f t="shared" ca="1" si="55"/>
        <v>60</v>
      </c>
      <c r="K177" s="24" t="str">
        <f t="shared" ca="1" si="56"/>
        <v>46-60 Group</v>
      </c>
      <c r="L177" s="1" t="s">
        <v>74</v>
      </c>
      <c r="M177" s="1" t="str">
        <f t="shared" si="57"/>
        <v>Sarah Taylor</v>
      </c>
      <c r="N177" s="1" t="str">
        <f t="shared" si="58"/>
        <v>Dermatology</v>
      </c>
      <c r="O177" s="24">
        <f t="shared" si="59"/>
        <v>26</v>
      </c>
      <c r="P177" s="14" t="str">
        <f t="shared" si="60"/>
        <v>Central</v>
      </c>
      <c r="Q177" s="1" t="str">
        <f t="shared" si="61"/>
        <v>Hospital</v>
      </c>
      <c r="R177" s="17"/>
    </row>
    <row r="178" spans="1:18" x14ac:dyDescent="0.25">
      <c r="A178" s="1" t="s">
        <v>242</v>
      </c>
      <c r="B178" s="2">
        <v>44988</v>
      </c>
      <c r="C178" s="4">
        <v>0.375</v>
      </c>
      <c r="D178" s="1" t="s">
        <v>29</v>
      </c>
      <c r="E178" s="1" t="s">
        <v>11</v>
      </c>
      <c r="F178" s="1" t="s">
        <v>129</v>
      </c>
      <c r="G178" s="1" t="str">
        <f t="shared" si="52"/>
        <v>Linda Brown</v>
      </c>
      <c r="H178" s="1" t="str">
        <f t="shared" si="53"/>
        <v>M</v>
      </c>
      <c r="I178" s="2">
        <f t="shared" si="54"/>
        <v>29305</v>
      </c>
      <c r="J178" s="24">
        <f t="shared" ca="1" si="55"/>
        <v>46</v>
      </c>
      <c r="K178" s="24" t="str">
        <f t="shared" ca="1" si="56"/>
        <v>46-60 Group</v>
      </c>
      <c r="L178" s="1" t="s">
        <v>74</v>
      </c>
      <c r="M178" s="1" t="str">
        <f t="shared" si="57"/>
        <v>Sarah Taylor</v>
      </c>
      <c r="N178" s="1" t="str">
        <f t="shared" si="58"/>
        <v>Dermatology</v>
      </c>
      <c r="O178" s="24">
        <f t="shared" si="59"/>
        <v>26</v>
      </c>
      <c r="P178" s="14" t="str">
        <f t="shared" si="60"/>
        <v>Central</v>
      </c>
      <c r="Q178" s="1" t="str">
        <f t="shared" si="61"/>
        <v>Hospital</v>
      </c>
      <c r="R178" s="17"/>
    </row>
    <row r="179" spans="1:18" x14ac:dyDescent="0.25">
      <c r="A179" s="1" t="s">
        <v>245</v>
      </c>
      <c r="B179" s="2">
        <v>45081</v>
      </c>
      <c r="C179" s="4">
        <v>0.5625</v>
      </c>
      <c r="D179" s="1" t="s">
        <v>29</v>
      </c>
      <c r="E179" s="1" t="s">
        <v>41</v>
      </c>
      <c r="F179" s="1" t="s">
        <v>66</v>
      </c>
      <c r="G179" s="1" t="str">
        <f t="shared" si="52"/>
        <v>Jane Moore</v>
      </c>
      <c r="H179" s="1" t="str">
        <f t="shared" si="53"/>
        <v>M</v>
      </c>
      <c r="I179" s="2">
        <f t="shared" si="54"/>
        <v>35046</v>
      </c>
      <c r="J179" s="24">
        <f t="shared" ca="1" si="55"/>
        <v>30</v>
      </c>
      <c r="K179" s="24" t="str">
        <f t="shared" ca="1" si="56"/>
        <v>19-30 Group</v>
      </c>
      <c r="L179" s="1" t="s">
        <v>74</v>
      </c>
      <c r="M179" s="1" t="str">
        <f t="shared" si="57"/>
        <v>Sarah Taylor</v>
      </c>
      <c r="N179" s="1" t="str">
        <f t="shared" si="58"/>
        <v>Dermatology</v>
      </c>
      <c r="O179" s="24">
        <f t="shared" si="59"/>
        <v>26</v>
      </c>
      <c r="P179" s="14" t="str">
        <f t="shared" si="60"/>
        <v>Central</v>
      </c>
      <c r="Q179" s="1" t="str">
        <f t="shared" si="61"/>
        <v>Hospital</v>
      </c>
      <c r="R179" s="17"/>
    </row>
    <row r="180" spans="1:18" x14ac:dyDescent="0.25">
      <c r="A180" s="1" t="s">
        <v>248</v>
      </c>
      <c r="B180" s="2">
        <v>45042</v>
      </c>
      <c r="C180" s="4">
        <v>0.39583333333333331</v>
      </c>
      <c r="D180" s="1" t="s">
        <v>10</v>
      </c>
      <c r="E180" s="1" t="s">
        <v>15</v>
      </c>
      <c r="F180" s="1" t="s">
        <v>92</v>
      </c>
      <c r="G180" s="1" t="str">
        <f t="shared" si="52"/>
        <v>Michael Taylor</v>
      </c>
      <c r="H180" s="1" t="str">
        <f t="shared" si="53"/>
        <v>M</v>
      </c>
      <c r="I180" s="2">
        <f t="shared" si="54"/>
        <v>37177</v>
      </c>
      <c r="J180" s="24">
        <f t="shared" ca="1" si="55"/>
        <v>24</v>
      </c>
      <c r="K180" s="24" t="str">
        <f t="shared" ca="1" si="56"/>
        <v>19-30 Group</v>
      </c>
      <c r="L180" s="1" t="s">
        <v>9</v>
      </c>
      <c r="M180" s="1" t="str">
        <f t="shared" si="57"/>
        <v>Sarah Smith</v>
      </c>
      <c r="N180" s="1" t="str">
        <f t="shared" si="58"/>
        <v>Pediatrics</v>
      </c>
      <c r="O180" s="24">
        <f t="shared" si="59"/>
        <v>26</v>
      </c>
      <c r="P180" s="14" t="str">
        <f t="shared" si="60"/>
        <v>Central</v>
      </c>
      <c r="Q180" s="1" t="str">
        <f t="shared" si="61"/>
        <v>Hospital</v>
      </c>
      <c r="R180" s="17"/>
    </row>
    <row r="181" spans="1:18" x14ac:dyDescent="0.25">
      <c r="A181" s="1" t="s">
        <v>249</v>
      </c>
      <c r="B181" s="2">
        <v>45154</v>
      </c>
      <c r="C181" s="4">
        <v>0.52083333333333337</v>
      </c>
      <c r="D181" s="1" t="s">
        <v>10</v>
      </c>
      <c r="E181" s="1" t="s">
        <v>19</v>
      </c>
      <c r="F181" s="1" t="s">
        <v>139</v>
      </c>
      <c r="G181" s="1" t="str">
        <f t="shared" si="52"/>
        <v>Robert Taylor</v>
      </c>
      <c r="H181" s="1" t="str">
        <f t="shared" si="53"/>
        <v>F</v>
      </c>
      <c r="I181" s="2">
        <f t="shared" si="54"/>
        <v>27830</v>
      </c>
      <c r="J181" s="24">
        <f t="shared" ca="1" si="55"/>
        <v>50</v>
      </c>
      <c r="K181" s="24" t="str">
        <f t="shared" ca="1" si="56"/>
        <v>46-60 Group</v>
      </c>
      <c r="L181" s="1" t="s">
        <v>32</v>
      </c>
      <c r="M181" s="1" t="str">
        <f t="shared" si="57"/>
        <v>Robert Davis</v>
      </c>
      <c r="N181" s="1" t="str">
        <f t="shared" si="58"/>
        <v>Oncology</v>
      </c>
      <c r="O181" s="24">
        <f t="shared" si="59"/>
        <v>26</v>
      </c>
      <c r="P181" s="14" t="str">
        <f t="shared" si="60"/>
        <v>Westside</v>
      </c>
      <c r="Q181" s="1" t="str">
        <f t="shared" si="61"/>
        <v>Clinic</v>
      </c>
      <c r="R181" s="17"/>
    </row>
    <row r="182" spans="1:18" x14ac:dyDescent="0.25">
      <c r="A182" s="1" t="s">
        <v>250</v>
      </c>
      <c r="B182" s="2">
        <v>44943</v>
      </c>
      <c r="C182" s="4">
        <v>0.55208333333333337</v>
      </c>
      <c r="D182" s="1" t="s">
        <v>29</v>
      </c>
      <c r="E182" s="1" t="s">
        <v>19</v>
      </c>
      <c r="F182" s="1" t="s">
        <v>151</v>
      </c>
      <c r="G182" s="1" t="str">
        <f t="shared" si="52"/>
        <v>Jane Jones</v>
      </c>
      <c r="H182" s="1" t="str">
        <f t="shared" si="53"/>
        <v>M</v>
      </c>
      <c r="I182" s="2">
        <f t="shared" si="54"/>
        <v>33359</v>
      </c>
      <c r="J182" s="24">
        <f t="shared" ca="1" si="55"/>
        <v>35</v>
      </c>
      <c r="K182" s="24" t="str">
        <f t="shared" ca="1" si="56"/>
        <v>31-45 Group</v>
      </c>
      <c r="L182" s="1" t="s">
        <v>32</v>
      </c>
      <c r="M182" s="1" t="str">
        <f t="shared" si="57"/>
        <v>Robert Davis</v>
      </c>
      <c r="N182" s="1" t="str">
        <f t="shared" si="58"/>
        <v>Oncology</v>
      </c>
      <c r="O182" s="24">
        <f t="shared" si="59"/>
        <v>26</v>
      </c>
      <c r="P182" s="14" t="str">
        <f t="shared" si="60"/>
        <v>Westside</v>
      </c>
      <c r="Q182" s="1" t="str">
        <f t="shared" si="61"/>
        <v>Clinic</v>
      </c>
      <c r="R182" s="17"/>
    </row>
    <row r="183" spans="1:18" x14ac:dyDescent="0.25">
      <c r="A183" s="1" t="s">
        <v>258</v>
      </c>
      <c r="B183" s="2">
        <v>45006</v>
      </c>
      <c r="C183" s="4">
        <v>0.58333333333333337</v>
      </c>
      <c r="D183" s="1" t="s">
        <v>18</v>
      </c>
      <c r="E183" s="1" t="s">
        <v>11</v>
      </c>
      <c r="F183" s="1" t="s">
        <v>177</v>
      </c>
      <c r="G183" s="1" t="str">
        <f t="shared" si="52"/>
        <v>Laura Davis</v>
      </c>
      <c r="H183" s="1" t="str">
        <f t="shared" si="53"/>
        <v>M</v>
      </c>
      <c r="I183" s="2">
        <f t="shared" si="54"/>
        <v>26278</v>
      </c>
      <c r="J183" s="24">
        <f t="shared" ca="1" si="55"/>
        <v>54</v>
      </c>
      <c r="K183" s="24" t="str">
        <f t="shared" ca="1" si="56"/>
        <v>46-60 Group</v>
      </c>
      <c r="L183" s="1" t="s">
        <v>9</v>
      </c>
      <c r="M183" s="1" t="str">
        <f t="shared" si="57"/>
        <v>Sarah Smith</v>
      </c>
      <c r="N183" s="1" t="str">
        <f t="shared" si="58"/>
        <v>Pediatrics</v>
      </c>
      <c r="O183" s="24">
        <f t="shared" si="59"/>
        <v>26</v>
      </c>
      <c r="P183" s="14" t="str">
        <f t="shared" si="60"/>
        <v>Central</v>
      </c>
      <c r="Q183" s="1" t="str">
        <f t="shared" si="61"/>
        <v>Hospital</v>
      </c>
      <c r="R183" s="17"/>
    </row>
    <row r="184" spans="1:18" x14ac:dyDescent="0.25">
      <c r="A184" s="1" t="s">
        <v>265</v>
      </c>
      <c r="B184" s="2">
        <v>45169</v>
      </c>
      <c r="C184" s="4">
        <v>0.59375</v>
      </c>
      <c r="D184" s="1" t="s">
        <v>18</v>
      </c>
      <c r="E184" s="1" t="s">
        <v>19</v>
      </c>
      <c r="F184" s="1" t="s">
        <v>252</v>
      </c>
      <c r="G184" s="1" t="str">
        <f t="shared" si="52"/>
        <v>David Smith</v>
      </c>
      <c r="H184" s="1" t="str">
        <f t="shared" si="53"/>
        <v>M</v>
      </c>
      <c r="I184" s="2">
        <f t="shared" si="54"/>
        <v>33414</v>
      </c>
      <c r="J184" s="24">
        <f t="shared" ca="1" si="55"/>
        <v>35</v>
      </c>
      <c r="K184" s="24" t="str">
        <f t="shared" ca="1" si="56"/>
        <v>31-45 Group</v>
      </c>
      <c r="L184" s="1" t="s">
        <v>74</v>
      </c>
      <c r="M184" s="1" t="str">
        <f t="shared" si="57"/>
        <v>Sarah Taylor</v>
      </c>
      <c r="N184" s="1" t="str">
        <f t="shared" si="58"/>
        <v>Dermatology</v>
      </c>
      <c r="O184" s="24">
        <f t="shared" si="59"/>
        <v>26</v>
      </c>
      <c r="P184" s="14" t="str">
        <f t="shared" si="60"/>
        <v>Central</v>
      </c>
      <c r="Q184" s="1" t="str">
        <f t="shared" si="61"/>
        <v>Hospital</v>
      </c>
      <c r="R184" s="17"/>
    </row>
    <row r="185" spans="1:18" x14ac:dyDescent="0.25">
      <c r="A185" s="1" t="s">
        <v>266</v>
      </c>
      <c r="B185" s="2">
        <v>45184</v>
      </c>
      <c r="C185" s="4">
        <v>0.34375</v>
      </c>
      <c r="D185" s="1" t="s">
        <v>10</v>
      </c>
      <c r="E185" s="1" t="s">
        <v>19</v>
      </c>
      <c r="F185" s="1" t="s">
        <v>100</v>
      </c>
      <c r="G185" s="1" t="str">
        <f t="shared" si="52"/>
        <v>Sarah Miller</v>
      </c>
      <c r="H185" s="1" t="str">
        <f t="shared" si="53"/>
        <v>M</v>
      </c>
      <c r="I185" s="2">
        <f t="shared" si="54"/>
        <v>27538</v>
      </c>
      <c r="J185" s="24">
        <f t="shared" ca="1" si="55"/>
        <v>51</v>
      </c>
      <c r="K185" s="24" t="str">
        <f t="shared" ca="1" si="56"/>
        <v>46-60 Group</v>
      </c>
      <c r="L185" s="1" t="s">
        <v>74</v>
      </c>
      <c r="M185" s="1" t="str">
        <f t="shared" si="57"/>
        <v>Sarah Taylor</v>
      </c>
      <c r="N185" s="1" t="str">
        <f t="shared" si="58"/>
        <v>Dermatology</v>
      </c>
      <c r="O185" s="24">
        <f t="shared" si="59"/>
        <v>26</v>
      </c>
      <c r="P185" s="14" t="str">
        <f t="shared" si="60"/>
        <v>Central</v>
      </c>
      <c r="Q185" s="1" t="str">
        <f t="shared" si="61"/>
        <v>Hospital</v>
      </c>
      <c r="R185" s="17"/>
    </row>
    <row r="186" spans="1:18" x14ac:dyDescent="0.25">
      <c r="A186" s="1" t="s">
        <v>270</v>
      </c>
      <c r="B186" s="2">
        <v>45017</v>
      </c>
      <c r="C186" s="4">
        <v>0.5625</v>
      </c>
      <c r="D186" s="1" t="s">
        <v>26</v>
      </c>
      <c r="E186" s="1" t="s">
        <v>15</v>
      </c>
      <c r="F186" s="1" t="s">
        <v>31</v>
      </c>
      <c r="G186" s="1" t="str">
        <f t="shared" si="52"/>
        <v>David Williams</v>
      </c>
      <c r="H186" s="1" t="str">
        <f t="shared" si="53"/>
        <v>F</v>
      </c>
      <c r="I186" s="2">
        <f t="shared" si="54"/>
        <v>20244</v>
      </c>
      <c r="J186" s="24">
        <f t="shared" ca="1" si="55"/>
        <v>71</v>
      </c>
      <c r="K186" s="24" t="str">
        <f t="shared" ca="1" si="56"/>
        <v xml:space="preserve">60+ </v>
      </c>
      <c r="L186" s="1" t="s">
        <v>74</v>
      </c>
      <c r="M186" s="1" t="str">
        <f t="shared" si="57"/>
        <v>Sarah Taylor</v>
      </c>
      <c r="N186" s="1" t="str">
        <f t="shared" si="58"/>
        <v>Dermatology</v>
      </c>
      <c r="O186" s="24">
        <f t="shared" si="59"/>
        <v>26</v>
      </c>
      <c r="P186" s="14" t="str">
        <f t="shared" si="60"/>
        <v>Central</v>
      </c>
      <c r="Q186" s="1" t="str">
        <f t="shared" si="61"/>
        <v>Hospital</v>
      </c>
      <c r="R186" s="17"/>
    </row>
    <row r="187" spans="1:18" x14ac:dyDescent="0.25">
      <c r="A187" s="1" t="s">
        <v>273</v>
      </c>
      <c r="B187" s="2">
        <v>45290</v>
      </c>
      <c r="C187" s="4">
        <v>0.42708333333333331</v>
      </c>
      <c r="D187" s="1" t="s">
        <v>18</v>
      </c>
      <c r="E187" s="1" t="s">
        <v>19</v>
      </c>
      <c r="F187" s="1" t="s">
        <v>163</v>
      </c>
      <c r="G187" s="1" t="str">
        <f t="shared" si="52"/>
        <v>Alex Johnson</v>
      </c>
      <c r="H187" s="1" t="str">
        <f t="shared" si="53"/>
        <v>F</v>
      </c>
      <c r="I187" s="2">
        <f t="shared" si="54"/>
        <v>32667</v>
      </c>
      <c r="J187" s="24">
        <f t="shared" ca="1" si="55"/>
        <v>37</v>
      </c>
      <c r="K187" s="24" t="str">
        <f t="shared" ca="1" si="56"/>
        <v>31-45 Group</v>
      </c>
      <c r="L187" s="1" t="s">
        <v>74</v>
      </c>
      <c r="M187" s="1" t="str">
        <f t="shared" si="57"/>
        <v>Sarah Taylor</v>
      </c>
      <c r="N187" s="1" t="str">
        <f t="shared" si="58"/>
        <v>Dermatology</v>
      </c>
      <c r="O187" s="24">
        <f t="shared" si="59"/>
        <v>26</v>
      </c>
      <c r="P187" s="14" t="str">
        <f t="shared" si="60"/>
        <v>Central</v>
      </c>
      <c r="Q187" s="1" t="str">
        <f t="shared" si="61"/>
        <v>Hospital</v>
      </c>
      <c r="R187" s="17"/>
    </row>
    <row r="188" spans="1:18" x14ac:dyDescent="0.25">
      <c r="A188" s="1" t="s">
        <v>12</v>
      </c>
      <c r="B188" s="2">
        <v>45086</v>
      </c>
      <c r="C188" s="4">
        <v>0.60416666666666663</v>
      </c>
      <c r="D188" s="1" t="s">
        <v>10</v>
      </c>
      <c r="E188" s="1" t="s">
        <v>15</v>
      </c>
      <c r="F188" s="1" t="s">
        <v>13</v>
      </c>
      <c r="G188" s="1" t="str">
        <f t="shared" si="52"/>
        <v>Alex Moore</v>
      </c>
      <c r="H188" s="1" t="str">
        <f t="shared" si="53"/>
        <v>M</v>
      </c>
      <c r="I188" s="2">
        <f t="shared" si="54"/>
        <v>29594</v>
      </c>
      <c r="J188" s="24">
        <f t="shared" ca="1" si="55"/>
        <v>45</v>
      </c>
      <c r="K188" s="24" t="str">
        <f t="shared" ca="1" si="56"/>
        <v>31-45 Group</v>
      </c>
      <c r="L188" s="1" t="s">
        <v>14</v>
      </c>
      <c r="M188" s="1" t="str">
        <f t="shared" si="57"/>
        <v>David Jones</v>
      </c>
      <c r="N188" s="1" t="str">
        <f t="shared" si="58"/>
        <v>Pediatrics</v>
      </c>
      <c r="O188" s="24">
        <f t="shared" si="59"/>
        <v>28</v>
      </c>
      <c r="P188" s="14" t="str">
        <f t="shared" si="60"/>
        <v>Central</v>
      </c>
      <c r="Q188" s="1" t="str">
        <f t="shared" si="61"/>
        <v>Hospital</v>
      </c>
      <c r="R188" s="17"/>
    </row>
    <row r="189" spans="1:18" x14ac:dyDescent="0.25">
      <c r="A189" s="1" t="s">
        <v>16</v>
      </c>
      <c r="B189" s="2">
        <v>45105</v>
      </c>
      <c r="C189" s="4">
        <v>0.33333333333333331</v>
      </c>
      <c r="D189" s="1" t="s">
        <v>18</v>
      </c>
      <c r="E189" s="1" t="s">
        <v>19</v>
      </c>
      <c r="F189" s="1" t="s">
        <v>17</v>
      </c>
      <c r="G189" s="1" t="str">
        <f t="shared" si="52"/>
        <v>Emily Miller</v>
      </c>
      <c r="H189" s="1" t="str">
        <f t="shared" si="53"/>
        <v>M</v>
      </c>
      <c r="I189" s="2">
        <f t="shared" si="54"/>
        <v>30399</v>
      </c>
      <c r="J189" s="24">
        <f t="shared" ca="1" si="55"/>
        <v>43</v>
      </c>
      <c r="K189" s="24" t="str">
        <f t="shared" ca="1" si="56"/>
        <v>31-45 Group</v>
      </c>
      <c r="L189" s="1" t="s">
        <v>14</v>
      </c>
      <c r="M189" s="1" t="str">
        <f t="shared" si="57"/>
        <v>David Jones</v>
      </c>
      <c r="N189" s="1" t="str">
        <f t="shared" si="58"/>
        <v>Pediatrics</v>
      </c>
      <c r="O189" s="24">
        <f t="shared" si="59"/>
        <v>28</v>
      </c>
      <c r="P189" s="14" t="str">
        <f t="shared" si="60"/>
        <v>Central</v>
      </c>
      <c r="Q189" s="1" t="str">
        <f t="shared" si="61"/>
        <v>Hospital</v>
      </c>
      <c r="R189" s="17"/>
    </row>
    <row r="190" spans="1:18" x14ac:dyDescent="0.25">
      <c r="A190" s="1" t="s">
        <v>51</v>
      </c>
      <c r="B190" s="2">
        <v>44941</v>
      </c>
      <c r="C190" s="4">
        <v>0.71875</v>
      </c>
      <c r="D190" s="1" t="s">
        <v>18</v>
      </c>
      <c r="E190" s="1" t="s">
        <v>15</v>
      </c>
      <c r="F190" s="1" t="s">
        <v>52</v>
      </c>
      <c r="G190" s="1" t="str">
        <f t="shared" si="52"/>
        <v>John Taylor</v>
      </c>
      <c r="H190" s="1" t="str">
        <f t="shared" si="53"/>
        <v>M</v>
      </c>
      <c r="I190" s="2">
        <f t="shared" si="54"/>
        <v>37953</v>
      </c>
      <c r="J190" s="24">
        <f t="shared" ca="1" si="55"/>
        <v>22</v>
      </c>
      <c r="K190" s="24" t="str">
        <f t="shared" ca="1" si="56"/>
        <v>19-30 Group</v>
      </c>
      <c r="L190" s="1" t="s">
        <v>14</v>
      </c>
      <c r="M190" s="1" t="str">
        <f t="shared" si="57"/>
        <v>David Jones</v>
      </c>
      <c r="N190" s="1" t="str">
        <f t="shared" si="58"/>
        <v>Pediatrics</v>
      </c>
      <c r="O190" s="24">
        <f t="shared" si="59"/>
        <v>28</v>
      </c>
      <c r="P190" s="14" t="str">
        <f t="shared" si="60"/>
        <v>Central</v>
      </c>
      <c r="Q190" s="1" t="str">
        <f t="shared" si="61"/>
        <v>Hospital</v>
      </c>
      <c r="R190" s="17"/>
    </row>
    <row r="191" spans="1:18" x14ac:dyDescent="0.25">
      <c r="A191" s="1" t="s">
        <v>82</v>
      </c>
      <c r="B191" s="2">
        <v>45090</v>
      </c>
      <c r="C191" s="4">
        <v>0.47916666666666669</v>
      </c>
      <c r="D191" s="1" t="s">
        <v>18</v>
      </c>
      <c r="E191" s="1" t="s">
        <v>15</v>
      </c>
      <c r="F191" s="1" t="s">
        <v>37</v>
      </c>
      <c r="G191" s="1" t="str">
        <f t="shared" si="52"/>
        <v>Jane Wilson</v>
      </c>
      <c r="H191" s="1" t="str">
        <f t="shared" si="53"/>
        <v>F</v>
      </c>
      <c r="I191" s="2">
        <f t="shared" si="54"/>
        <v>18609</v>
      </c>
      <c r="J191" s="24">
        <f t="shared" ca="1" si="55"/>
        <v>75</v>
      </c>
      <c r="K191" s="24" t="str">
        <f t="shared" ca="1" si="56"/>
        <v xml:space="preserve">60+ </v>
      </c>
      <c r="L191" s="1" t="s">
        <v>14</v>
      </c>
      <c r="M191" s="1" t="str">
        <f t="shared" si="57"/>
        <v>David Jones</v>
      </c>
      <c r="N191" s="1" t="str">
        <f t="shared" si="58"/>
        <v>Pediatrics</v>
      </c>
      <c r="O191" s="24">
        <f t="shared" si="59"/>
        <v>28</v>
      </c>
      <c r="P191" s="14" t="str">
        <f t="shared" si="60"/>
        <v>Central</v>
      </c>
      <c r="Q191" s="1" t="str">
        <f t="shared" si="61"/>
        <v>Hospital</v>
      </c>
      <c r="R191" s="17"/>
    </row>
    <row r="192" spans="1:18" x14ac:dyDescent="0.25">
      <c r="A192" s="1" t="s">
        <v>87</v>
      </c>
      <c r="B192" s="2">
        <v>45013</v>
      </c>
      <c r="C192" s="4">
        <v>0.45833333333333331</v>
      </c>
      <c r="D192" s="1" t="s">
        <v>18</v>
      </c>
      <c r="E192" s="1" t="s">
        <v>11</v>
      </c>
      <c r="F192" s="1" t="s">
        <v>70</v>
      </c>
      <c r="G192" s="1" t="str">
        <f t="shared" si="52"/>
        <v>Emily Moore</v>
      </c>
      <c r="H192" s="1" t="str">
        <f t="shared" si="53"/>
        <v>M</v>
      </c>
      <c r="I192" s="2">
        <f t="shared" si="54"/>
        <v>23734</v>
      </c>
      <c r="J192" s="24">
        <f t="shared" ca="1" si="55"/>
        <v>61</v>
      </c>
      <c r="K192" s="24" t="str">
        <f t="shared" ca="1" si="56"/>
        <v xml:space="preserve">60+ </v>
      </c>
      <c r="L192" s="1" t="s">
        <v>14</v>
      </c>
      <c r="M192" s="1" t="str">
        <f t="shared" si="57"/>
        <v>David Jones</v>
      </c>
      <c r="N192" s="1" t="str">
        <f t="shared" si="58"/>
        <v>Pediatrics</v>
      </c>
      <c r="O192" s="24">
        <f t="shared" si="59"/>
        <v>28</v>
      </c>
      <c r="P192" s="14" t="str">
        <f t="shared" si="60"/>
        <v>Central</v>
      </c>
      <c r="Q192" s="1" t="str">
        <f t="shared" si="61"/>
        <v>Hospital</v>
      </c>
      <c r="R192" s="17"/>
    </row>
    <row r="193" spans="1:18" x14ac:dyDescent="0.25">
      <c r="A193" s="1" t="s">
        <v>113</v>
      </c>
      <c r="B193" s="2">
        <v>44928</v>
      </c>
      <c r="C193" s="4">
        <v>0.53125</v>
      </c>
      <c r="D193" s="1" t="s">
        <v>29</v>
      </c>
      <c r="E193" s="1" t="s">
        <v>11</v>
      </c>
      <c r="F193" s="1" t="s">
        <v>68</v>
      </c>
      <c r="G193" s="1" t="str">
        <f t="shared" si="52"/>
        <v>David Moore</v>
      </c>
      <c r="H193" s="1" t="str">
        <f t="shared" si="53"/>
        <v>M</v>
      </c>
      <c r="I193" s="2">
        <f t="shared" si="54"/>
        <v>26629</v>
      </c>
      <c r="J193" s="24">
        <f t="shared" ca="1" si="55"/>
        <v>53</v>
      </c>
      <c r="K193" s="24" t="str">
        <f t="shared" ca="1" si="56"/>
        <v>46-60 Group</v>
      </c>
      <c r="L193" s="1" t="s">
        <v>14</v>
      </c>
      <c r="M193" s="1" t="str">
        <f t="shared" si="57"/>
        <v>David Jones</v>
      </c>
      <c r="N193" s="1" t="str">
        <f t="shared" si="58"/>
        <v>Pediatrics</v>
      </c>
      <c r="O193" s="24">
        <f t="shared" si="59"/>
        <v>28</v>
      </c>
      <c r="P193" s="14" t="str">
        <f t="shared" si="60"/>
        <v>Central</v>
      </c>
      <c r="Q193" s="1" t="str">
        <f t="shared" si="61"/>
        <v>Hospital</v>
      </c>
      <c r="R193" s="17"/>
    </row>
    <row r="194" spans="1:18" x14ac:dyDescent="0.25">
      <c r="A194" s="1" t="s">
        <v>122</v>
      </c>
      <c r="B194" s="2">
        <v>45106</v>
      </c>
      <c r="C194" s="4">
        <v>0.375</v>
      </c>
      <c r="D194" s="1" t="s">
        <v>38</v>
      </c>
      <c r="E194" s="1" t="s">
        <v>11</v>
      </c>
      <c r="F194" s="1" t="s">
        <v>123</v>
      </c>
      <c r="G194" s="1" t="str">
        <f t="shared" ref="G194:G201" si="62">VLOOKUP(F194,$CX$1:$DI$51,12,FALSE)</f>
        <v>Laura Wilson</v>
      </c>
      <c r="H194" s="1" t="str">
        <f t="shared" ref="H194:H201" si="63">VLOOKUP(F194,$CX$1:$DI$51,4,FALSE)</f>
        <v>M</v>
      </c>
      <c r="I194" s="2">
        <f t="shared" ref="I194:I201" si="64">VLOOKUP(F194,$CX$1:$DI$51,5,FALSE)</f>
        <v>34330</v>
      </c>
      <c r="J194" s="24">
        <f t="shared" ref="J194:J201" ca="1" si="65">DATEDIF(I194,TODAY(),"Y")</f>
        <v>32</v>
      </c>
      <c r="K194" s="24" t="str">
        <f t="shared" ref="K194:K201" ca="1" si="66">_xlfn.IFS(J194&lt;=18,"0-18 Group",J194&lt;=30,"19-30 Group",J194&lt;=45,"31-45 Group",J194&lt;=60,"46-60 Group",J194&gt;60,"60+ ")</f>
        <v>31-45 Group</v>
      </c>
      <c r="L194" s="1" t="s">
        <v>14</v>
      </c>
      <c r="M194" s="1" t="str">
        <f t="shared" ref="M194:M201" si="67">VLOOKUP(L194,$CL$1:$CU$11,10,FALSE)</f>
        <v>David Jones</v>
      </c>
      <c r="N194" s="1" t="str">
        <f t="shared" ref="N194:N201" si="68">VLOOKUP(L194,$CL$1:$CU$11,4,FALSE)</f>
        <v>Pediatrics</v>
      </c>
      <c r="O194" s="24">
        <f t="shared" ref="O194:O201" si="69">VLOOKUP(L194,$CL$1:$CU$11,6,FALSE)</f>
        <v>28</v>
      </c>
      <c r="P194" s="14" t="str">
        <f t="shared" ref="P194:P201" si="70">VLOOKUP(L194,$CL$1:$CU$11,7,FALSE)</f>
        <v>Central</v>
      </c>
      <c r="Q194" s="1" t="str">
        <f t="shared" ref="Q194:Q201" si="71">VLOOKUP(L194,$CL$1:$CU$11,8,FALSE)</f>
        <v>Hospital</v>
      </c>
      <c r="R194" s="17"/>
    </row>
    <row r="195" spans="1:18" x14ac:dyDescent="0.25">
      <c r="A195" s="1" t="s">
        <v>131</v>
      </c>
      <c r="B195" s="2">
        <v>45014</v>
      </c>
      <c r="C195" s="4">
        <v>0.64583333333333337</v>
      </c>
      <c r="D195" s="1" t="s">
        <v>10</v>
      </c>
      <c r="E195" s="1" t="s">
        <v>19</v>
      </c>
      <c r="F195" s="1" t="s">
        <v>50</v>
      </c>
      <c r="G195" s="1" t="str">
        <f t="shared" si="62"/>
        <v>Laura Davis</v>
      </c>
      <c r="H195" s="1" t="str">
        <f t="shared" si="63"/>
        <v>F</v>
      </c>
      <c r="I195" s="2">
        <f t="shared" si="64"/>
        <v>33580</v>
      </c>
      <c r="J195" s="24">
        <f t="shared" ca="1" si="65"/>
        <v>34</v>
      </c>
      <c r="K195" s="24" t="str">
        <f t="shared" ca="1" si="66"/>
        <v>31-45 Group</v>
      </c>
      <c r="L195" s="1" t="s">
        <v>14</v>
      </c>
      <c r="M195" s="1" t="str">
        <f t="shared" si="67"/>
        <v>David Jones</v>
      </c>
      <c r="N195" s="1" t="str">
        <f t="shared" si="68"/>
        <v>Pediatrics</v>
      </c>
      <c r="O195" s="24">
        <f t="shared" si="69"/>
        <v>28</v>
      </c>
      <c r="P195" s="14" t="str">
        <f t="shared" si="70"/>
        <v>Central</v>
      </c>
      <c r="Q195" s="1" t="str">
        <f t="shared" si="71"/>
        <v>Hospital</v>
      </c>
      <c r="R195" s="17"/>
    </row>
    <row r="196" spans="1:18" x14ac:dyDescent="0.25">
      <c r="A196" s="1" t="s">
        <v>190</v>
      </c>
      <c r="B196" s="2">
        <v>45278</v>
      </c>
      <c r="C196" s="4">
        <v>0.5625</v>
      </c>
      <c r="D196" s="1" t="s">
        <v>26</v>
      </c>
      <c r="E196" s="1" t="s">
        <v>19</v>
      </c>
      <c r="F196" s="1" t="s">
        <v>90</v>
      </c>
      <c r="G196" s="1" t="str">
        <f t="shared" si="62"/>
        <v>Linda Johnson</v>
      </c>
      <c r="H196" s="1" t="str">
        <f t="shared" si="63"/>
        <v>M</v>
      </c>
      <c r="I196" s="2">
        <f t="shared" si="64"/>
        <v>34387</v>
      </c>
      <c r="J196" s="24">
        <f t="shared" ca="1" si="65"/>
        <v>32</v>
      </c>
      <c r="K196" s="24" t="str">
        <f t="shared" ca="1" si="66"/>
        <v>31-45 Group</v>
      </c>
      <c r="L196" s="1" t="s">
        <v>14</v>
      </c>
      <c r="M196" s="1" t="str">
        <f t="shared" si="67"/>
        <v>David Jones</v>
      </c>
      <c r="N196" s="1" t="str">
        <f t="shared" si="68"/>
        <v>Pediatrics</v>
      </c>
      <c r="O196" s="24">
        <f t="shared" si="69"/>
        <v>28</v>
      </c>
      <c r="P196" s="14" t="str">
        <f t="shared" si="70"/>
        <v>Central</v>
      </c>
      <c r="Q196" s="1" t="str">
        <f t="shared" si="71"/>
        <v>Hospital</v>
      </c>
      <c r="R196" s="17"/>
    </row>
    <row r="197" spans="1:18" x14ac:dyDescent="0.25">
      <c r="A197" s="1" t="s">
        <v>223</v>
      </c>
      <c r="B197" s="2">
        <v>45030</v>
      </c>
      <c r="C197" s="4">
        <v>0.35416666666666669</v>
      </c>
      <c r="D197" s="1" t="s">
        <v>10</v>
      </c>
      <c r="E197" s="1" t="s">
        <v>41</v>
      </c>
      <c r="F197" s="1" t="s">
        <v>40</v>
      </c>
      <c r="G197" s="1" t="str">
        <f t="shared" si="62"/>
        <v>David Wilson</v>
      </c>
      <c r="H197" s="1" t="str">
        <f t="shared" si="63"/>
        <v>M</v>
      </c>
      <c r="I197" s="2">
        <f t="shared" si="64"/>
        <v>22090</v>
      </c>
      <c r="J197" s="24">
        <f t="shared" ca="1" si="65"/>
        <v>66</v>
      </c>
      <c r="K197" s="24" t="str">
        <f t="shared" ca="1" si="66"/>
        <v xml:space="preserve">60+ </v>
      </c>
      <c r="L197" s="1" t="s">
        <v>14</v>
      </c>
      <c r="M197" s="1" t="str">
        <f t="shared" si="67"/>
        <v>David Jones</v>
      </c>
      <c r="N197" s="1" t="str">
        <f t="shared" si="68"/>
        <v>Pediatrics</v>
      </c>
      <c r="O197" s="24">
        <f t="shared" si="69"/>
        <v>28</v>
      </c>
      <c r="P197" s="14" t="str">
        <f t="shared" si="70"/>
        <v>Central</v>
      </c>
      <c r="Q197" s="1" t="str">
        <f t="shared" si="71"/>
        <v>Hospital</v>
      </c>
      <c r="R197" s="17"/>
    </row>
    <row r="198" spans="1:18" x14ac:dyDescent="0.25">
      <c r="A198" s="1" t="s">
        <v>233</v>
      </c>
      <c r="B198" s="2">
        <v>44927</v>
      </c>
      <c r="C198" s="4">
        <v>0.71875</v>
      </c>
      <c r="D198" s="1" t="s">
        <v>26</v>
      </c>
      <c r="E198" s="1" t="s">
        <v>15</v>
      </c>
      <c r="F198" s="1" t="s">
        <v>234</v>
      </c>
      <c r="G198" s="1" t="str">
        <f t="shared" si="62"/>
        <v>Jane Smith</v>
      </c>
      <c r="H198" s="1" t="str">
        <f t="shared" si="63"/>
        <v>F</v>
      </c>
      <c r="I198" s="2">
        <f t="shared" si="64"/>
        <v>19958</v>
      </c>
      <c r="J198" s="24">
        <f t="shared" ca="1" si="65"/>
        <v>72</v>
      </c>
      <c r="K198" s="24" t="str">
        <f t="shared" ca="1" si="66"/>
        <v xml:space="preserve">60+ </v>
      </c>
      <c r="L198" s="1" t="s">
        <v>14</v>
      </c>
      <c r="M198" s="1" t="str">
        <f t="shared" si="67"/>
        <v>David Jones</v>
      </c>
      <c r="N198" s="1" t="str">
        <f t="shared" si="68"/>
        <v>Pediatrics</v>
      </c>
      <c r="O198" s="24">
        <f t="shared" si="69"/>
        <v>28</v>
      </c>
      <c r="P198" s="14" t="str">
        <f t="shared" si="70"/>
        <v>Central</v>
      </c>
      <c r="Q198" s="1" t="str">
        <f t="shared" si="71"/>
        <v>Hospital</v>
      </c>
      <c r="R198" s="17"/>
    </row>
    <row r="199" spans="1:18" x14ac:dyDescent="0.25">
      <c r="A199" s="1" t="s">
        <v>240</v>
      </c>
      <c r="B199" s="2">
        <v>45198</v>
      </c>
      <c r="C199" s="4">
        <v>0.41666666666666669</v>
      </c>
      <c r="D199" s="1" t="s">
        <v>18</v>
      </c>
      <c r="E199" s="1" t="s">
        <v>15</v>
      </c>
      <c r="F199" s="1" t="s">
        <v>90</v>
      </c>
      <c r="G199" s="1" t="str">
        <f t="shared" si="62"/>
        <v>Linda Johnson</v>
      </c>
      <c r="H199" s="1" t="str">
        <f t="shared" si="63"/>
        <v>M</v>
      </c>
      <c r="I199" s="2">
        <f t="shared" si="64"/>
        <v>34387</v>
      </c>
      <c r="J199" s="24">
        <f t="shared" ca="1" si="65"/>
        <v>32</v>
      </c>
      <c r="K199" s="24" t="str">
        <f t="shared" ca="1" si="66"/>
        <v>31-45 Group</v>
      </c>
      <c r="L199" s="1" t="s">
        <v>14</v>
      </c>
      <c r="M199" s="1" t="str">
        <f t="shared" si="67"/>
        <v>David Jones</v>
      </c>
      <c r="N199" s="1" t="str">
        <f t="shared" si="68"/>
        <v>Pediatrics</v>
      </c>
      <c r="O199" s="24">
        <f t="shared" si="69"/>
        <v>28</v>
      </c>
      <c r="P199" s="14" t="str">
        <f t="shared" si="70"/>
        <v>Central</v>
      </c>
      <c r="Q199" s="1" t="str">
        <f t="shared" si="71"/>
        <v>Hospital</v>
      </c>
      <c r="R199" s="17"/>
    </row>
    <row r="200" spans="1:18" x14ac:dyDescent="0.25">
      <c r="A200" s="1" t="s">
        <v>254</v>
      </c>
      <c r="B200" s="2">
        <v>45172</v>
      </c>
      <c r="C200" s="4">
        <v>0.55208333333333337</v>
      </c>
      <c r="D200" s="1" t="s">
        <v>26</v>
      </c>
      <c r="E200" s="1" t="s">
        <v>41</v>
      </c>
      <c r="F200" s="1" t="s">
        <v>72</v>
      </c>
      <c r="G200" s="1" t="str">
        <f t="shared" si="62"/>
        <v>Michael Taylor</v>
      </c>
      <c r="H200" s="1" t="str">
        <f t="shared" si="63"/>
        <v>F</v>
      </c>
      <c r="I200" s="2">
        <f t="shared" si="64"/>
        <v>31656</v>
      </c>
      <c r="J200" s="24">
        <f t="shared" ca="1" si="65"/>
        <v>40</v>
      </c>
      <c r="K200" s="24" t="str">
        <f t="shared" ca="1" si="66"/>
        <v>31-45 Group</v>
      </c>
      <c r="L200" s="1" t="s">
        <v>14</v>
      </c>
      <c r="M200" s="1" t="str">
        <f t="shared" si="67"/>
        <v>David Jones</v>
      </c>
      <c r="N200" s="1" t="str">
        <f t="shared" si="68"/>
        <v>Pediatrics</v>
      </c>
      <c r="O200" s="24">
        <f t="shared" si="69"/>
        <v>28</v>
      </c>
      <c r="P200" s="14" t="str">
        <f t="shared" si="70"/>
        <v>Central</v>
      </c>
      <c r="Q200" s="1" t="str">
        <f t="shared" si="71"/>
        <v>Hospital</v>
      </c>
      <c r="R200" s="17"/>
    </row>
    <row r="201" spans="1:18" x14ac:dyDescent="0.25">
      <c r="A201" s="1" t="s">
        <v>256</v>
      </c>
      <c r="B201" s="2">
        <v>44960</v>
      </c>
      <c r="C201" s="4">
        <v>0.67708333333333337</v>
      </c>
      <c r="D201" s="1" t="s">
        <v>29</v>
      </c>
      <c r="E201" s="1" t="s">
        <v>41</v>
      </c>
      <c r="F201" s="1" t="s">
        <v>24</v>
      </c>
      <c r="G201" s="1" t="str">
        <f t="shared" si="62"/>
        <v>Emily Williams</v>
      </c>
      <c r="H201" s="1" t="str">
        <f t="shared" si="63"/>
        <v>M</v>
      </c>
      <c r="I201" s="2">
        <f t="shared" si="64"/>
        <v>26449</v>
      </c>
      <c r="J201" s="24">
        <f t="shared" ca="1" si="65"/>
        <v>54</v>
      </c>
      <c r="K201" s="24" t="str">
        <f t="shared" ca="1" si="66"/>
        <v>46-60 Group</v>
      </c>
      <c r="L201" s="1" t="s">
        <v>14</v>
      </c>
      <c r="M201" s="1" t="str">
        <f t="shared" si="67"/>
        <v>David Jones</v>
      </c>
      <c r="N201" s="1" t="str">
        <f t="shared" si="68"/>
        <v>Pediatrics</v>
      </c>
      <c r="O201" s="24">
        <f t="shared" si="69"/>
        <v>28</v>
      </c>
      <c r="P201" s="14" t="str">
        <f t="shared" si="70"/>
        <v>Central</v>
      </c>
      <c r="Q201" s="1" t="str">
        <f t="shared" si="71"/>
        <v>Hospital</v>
      </c>
      <c r="R201" s="17"/>
    </row>
  </sheetData>
  <sortState ref="A2:Q202">
    <sortCondition ref="O1"/>
  </sortState>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65A2551A-24CA-4CC9-8D08-DA777C7649DD}">
          <x14:colorSeries rgb="FF376092"/>
          <x14:colorNegative rgb="FFD00000"/>
          <x14:colorAxis rgb="FF000000"/>
          <x14:colorMarkers rgb="FFD00000"/>
          <x14:colorFirst rgb="FFD00000"/>
          <x14:colorLast rgb="FFD00000"/>
          <x14:colorHigh rgb="FFD00000"/>
          <x14:colorLow rgb="FFD00000"/>
          <x14:sparklines>
            <x14:sparkline>
              <xm:f>'cleaned data'!T36</xm:f>
              <xm:sqref>T37</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A76C4-6C6E-48FE-BF61-22F19CE5EC0A}">
  <dimension ref="C3:C23"/>
  <sheetViews>
    <sheetView workbookViewId="0">
      <selection activeCell="D11" sqref="D11"/>
    </sheetView>
  </sheetViews>
  <sheetFormatPr defaultRowHeight="15" x14ac:dyDescent="0.25"/>
  <cols>
    <col min="3" max="3" width="111.7109375" bestFit="1" customWidth="1"/>
  </cols>
  <sheetData>
    <row r="3" spans="3:3" x14ac:dyDescent="0.25">
      <c r="C3" t="s">
        <v>489</v>
      </c>
    </row>
    <row r="4" spans="3:3" x14ac:dyDescent="0.25">
      <c r="C4" s="19" t="s">
        <v>490</v>
      </c>
    </row>
    <row r="5" spans="3:3" x14ac:dyDescent="0.25">
      <c r="C5" s="19" t="s">
        <v>491</v>
      </c>
    </row>
    <row r="6" spans="3:3" x14ac:dyDescent="0.25">
      <c r="C6" s="19" t="s">
        <v>492</v>
      </c>
    </row>
    <row r="7" spans="3:3" x14ac:dyDescent="0.25">
      <c r="C7" s="19" t="s">
        <v>493</v>
      </c>
    </row>
    <row r="8" spans="3:3" x14ac:dyDescent="0.25">
      <c r="C8" s="19" t="s">
        <v>497</v>
      </c>
    </row>
    <row r="9" spans="3:3" x14ac:dyDescent="0.25">
      <c r="C9" s="19" t="s">
        <v>494</v>
      </c>
    </row>
    <row r="10" spans="3:3" x14ac:dyDescent="0.25">
      <c r="C10" s="19" t="s">
        <v>498</v>
      </c>
    </row>
    <row r="11" spans="3:3" x14ac:dyDescent="0.25">
      <c r="C11" s="19" t="s">
        <v>496</v>
      </c>
    </row>
    <row r="12" spans="3:3" x14ac:dyDescent="0.25">
      <c r="C12" s="9"/>
    </row>
    <row r="13" spans="3:3" x14ac:dyDescent="0.25">
      <c r="C13" s="9"/>
    </row>
    <row r="21" spans="3:3" x14ac:dyDescent="0.25">
      <c r="C21" s="9"/>
    </row>
    <row r="22" spans="3:3" x14ac:dyDescent="0.25">
      <c r="C22" s="9"/>
    </row>
    <row r="23" spans="3:3" x14ac:dyDescent="0.25">
      <c r="C23" s="19"/>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2421-F1BC-467D-83BF-987F8FC3EC49}">
  <dimension ref="C3:S32"/>
  <sheetViews>
    <sheetView workbookViewId="0">
      <selection activeCell="C3" sqref="C3"/>
    </sheetView>
  </sheetViews>
  <sheetFormatPr defaultRowHeight="15" x14ac:dyDescent="0.25"/>
  <cols>
    <col min="2" max="2" width="13.140625" bestFit="1" customWidth="1"/>
    <col min="3" max="3" width="48.85546875" bestFit="1" customWidth="1"/>
    <col min="4" max="4" width="19" bestFit="1" customWidth="1"/>
    <col min="5" max="5" width="23.85546875" bestFit="1" customWidth="1"/>
    <col min="6" max="6" width="26.7109375" bestFit="1" customWidth="1"/>
    <col min="8" max="8" width="13.140625" bestFit="1" customWidth="1"/>
    <col min="9" max="9" width="23.7109375" bestFit="1" customWidth="1"/>
    <col min="11" max="11" width="13.140625" bestFit="1" customWidth="1"/>
    <col min="12" max="12" width="23.7109375" bestFit="1" customWidth="1"/>
    <col min="14" max="14" width="13.140625" bestFit="1" customWidth="1"/>
    <col min="15" max="15" width="18.42578125" bestFit="1" customWidth="1"/>
    <col min="17" max="17" width="13.140625" bestFit="1" customWidth="1"/>
    <col min="18" max="18" width="23.7109375" bestFit="1" customWidth="1"/>
    <col min="20" max="20" width="13.140625" bestFit="1" customWidth="1"/>
    <col min="21" max="21" width="23.7109375" bestFit="1" customWidth="1"/>
  </cols>
  <sheetData>
    <row r="3" spans="3:19" x14ac:dyDescent="0.25">
      <c r="D3" s="20"/>
      <c r="G3" s="20"/>
      <c r="J3" s="20"/>
      <c r="M3" s="20"/>
      <c r="P3" s="20"/>
      <c r="S3" s="20"/>
    </row>
    <row r="4" spans="3:19" x14ac:dyDescent="0.25">
      <c r="C4" t="s">
        <v>462</v>
      </c>
      <c r="D4">
        <v>200</v>
      </c>
    </row>
    <row r="6" spans="3:19" x14ac:dyDescent="0.25">
      <c r="C6" t="s">
        <v>466</v>
      </c>
      <c r="D6" s="25" t="s">
        <v>463</v>
      </c>
      <c r="E6" s="25" t="s">
        <v>464</v>
      </c>
    </row>
    <row r="7" spans="3:19" x14ac:dyDescent="0.25">
      <c r="D7" s="1" t="s">
        <v>11</v>
      </c>
      <c r="E7" s="1">
        <v>51</v>
      </c>
    </row>
    <row r="8" spans="3:19" x14ac:dyDescent="0.25">
      <c r="D8" s="1" t="s">
        <v>15</v>
      </c>
      <c r="E8" s="1">
        <v>52</v>
      </c>
    </row>
    <row r="9" spans="3:19" x14ac:dyDescent="0.25">
      <c r="D9" s="1" t="s">
        <v>41</v>
      </c>
      <c r="E9" s="1">
        <v>46</v>
      </c>
    </row>
    <row r="10" spans="3:19" x14ac:dyDescent="0.25">
      <c r="D10" s="1" t="s">
        <v>19</v>
      </c>
      <c r="E10" s="1">
        <v>51</v>
      </c>
    </row>
    <row r="12" spans="3:19" x14ac:dyDescent="0.25">
      <c r="C12" t="s">
        <v>467</v>
      </c>
      <c r="D12" s="25" t="s">
        <v>463</v>
      </c>
      <c r="E12" s="25" t="s">
        <v>464</v>
      </c>
    </row>
    <row r="13" spans="3:19" x14ac:dyDescent="0.25">
      <c r="D13" s="1" t="s">
        <v>11</v>
      </c>
      <c r="E13" s="26">
        <v>0.255</v>
      </c>
    </row>
    <row r="14" spans="3:19" x14ac:dyDescent="0.25">
      <c r="D14" s="1" t="s">
        <v>15</v>
      </c>
      <c r="E14" s="26">
        <v>0.26</v>
      </c>
    </row>
    <row r="15" spans="3:19" x14ac:dyDescent="0.25">
      <c r="D15" s="1" t="s">
        <v>41</v>
      </c>
      <c r="E15" s="26">
        <v>0.23</v>
      </c>
    </row>
    <row r="16" spans="3:19" x14ac:dyDescent="0.25">
      <c r="D16" s="1" t="s">
        <v>19</v>
      </c>
      <c r="E16" s="26">
        <v>0.255</v>
      </c>
    </row>
    <row r="18" spans="3:6" x14ac:dyDescent="0.25">
      <c r="C18" t="s">
        <v>482</v>
      </c>
      <c r="D18" s="25" t="s">
        <v>469</v>
      </c>
      <c r="E18" s="25" t="s">
        <v>480</v>
      </c>
      <c r="F18" s="25" t="s">
        <v>481</v>
      </c>
    </row>
    <row r="19" spans="3:6" x14ac:dyDescent="0.25">
      <c r="D19" s="1" t="s">
        <v>470</v>
      </c>
      <c r="E19" s="1">
        <v>25</v>
      </c>
      <c r="F19" s="26">
        <v>0.125</v>
      </c>
    </row>
    <row r="20" spans="3:6" x14ac:dyDescent="0.25">
      <c r="D20" s="1" t="s">
        <v>471</v>
      </c>
      <c r="E20" s="1">
        <v>21</v>
      </c>
      <c r="F20" s="26">
        <v>0.105</v>
      </c>
    </row>
    <row r="21" spans="3:6" x14ac:dyDescent="0.25">
      <c r="D21" s="1" t="s">
        <v>472</v>
      </c>
      <c r="E21" s="1">
        <v>22</v>
      </c>
      <c r="F21" s="26">
        <v>0.11</v>
      </c>
    </row>
    <row r="22" spans="3:6" x14ac:dyDescent="0.25">
      <c r="D22" s="1" t="s">
        <v>473</v>
      </c>
      <c r="E22" s="1">
        <v>14</v>
      </c>
      <c r="F22" s="26">
        <v>7.0000000000000007E-2</v>
      </c>
    </row>
    <row r="23" spans="3:6" x14ac:dyDescent="0.25">
      <c r="D23" s="1" t="s">
        <v>474</v>
      </c>
      <c r="E23" s="1">
        <v>29</v>
      </c>
      <c r="F23" s="26">
        <v>0.14499999999999999</v>
      </c>
    </row>
    <row r="24" spans="3:6" x14ac:dyDescent="0.25">
      <c r="D24" s="1" t="s">
        <v>475</v>
      </c>
      <c r="E24" s="1">
        <v>24</v>
      </c>
      <c r="F24" s="26">
        <v>0.12</v>
      </c>
    </row>
    <row r="25" spans="3:6" x14ac:dyDescent="0.25">
      <c r="D25" s="1" t="s">
        <v>476</v>
      </c>
      <c r="E25" s="1">
        <v>13</v>
      </c>
      <c r="F25" s="26">
        <v>6.5000000000000002E-2</v>
      </c>
    </row>
    <row r="26" spans="3:6" x14ac:dyDescent="0.25">
      <c r="D26" s="1" t="s">
        <v>477</v>
      </c>
      <c r="E26" s="1">
        <v>16</v>
      </c>
      <c r="F26" s="26">
        <v>0.08</v>
      </c>
    </row>
    <row r="27" spans="3:6" x14ac:dyDescent="0.25">
      <c r="D27" s="1" t="s">
        <v>478</v>
      </c>
      <c r="E27" s="1">
        <v>17</v>
      </c>
      <c r="F27" s="26">
        <v>8.5000000000000006E-2</v>
      </c>
    </row>
    <row r="28" spans="3:6" x14ac:dyDescent="0.25">
      <c r="D28" s="1" t="s">
        <v>479</v>
      </c>
      <c r="E28" s="1">
        <v>19</v>
      </c>
      <c r="F28" s="26">
        <v>9.5000000000000001E-2</v>
      </c>
    </row>
    <row r="30" spans="3:6" x14ac:dyDescent="0.25">
      <c r="C30" t="s">
        <v>484</v>
      </c>
      <c r="D30" t="s">
        <v>409</v>
      </c>
    </row>
    <row r="32" spans="3:6" x14ac:dyDescent="0.25">
      <c r="C32" t="s">
        <v>486</v>
      </c>
      <c r="D32">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5F2FB-294A-40ED-8C9A-8435E46AD314}">
  <dimension ref="A1:AT63"/>
  <sheetViews>
    <sheetView showGridLines="0" tabSelected="1" topLeftCell="A10" zoomScale="66" workbookViewId="0">
      <selection activeCell="B6" sqref="B6"/>
    </sheetView>
  </sheetViews>
  <sheetFormatPr defaultRowHeight="15" x14ac:dyDescent="0.25"/>
  <sheetData>
    <row r="1" spans="1:37" x14ac:dyDescent="0.25">
      <c r="A1" s="34"/>
      <c r="B1" s="34"/>
      <c r="C1" s="34"/>
      <c r="D1" s="34"/>
      <c r="E1" s="34"/>
      <c r="F1" s="34"/>
      <c r="G1" s="34"/>
      <c r="H1" s="34"/>
      <c r="I1" s="34"/>
      <c r="J1" s="34"/>
      <c r="K1" s="34"/>
      <c r="L1" s="34"/>
      <c r="M1" s="34"/>
      <c r="N1" s="34"/>
      <c r="O1" s="34"/>
      <c r="P1" s="34"/>
      <c r="Q1" s="34"/>
      <c r="R1" s="34"/>
      <c r="S1" s="34"/>
      <c r="T1" s="34"/>
      <c r="U1" s="34"/>
      <c r="V1" s="34"/>
      <c r="W1" s="34"/>
      <c r="X1" s="34"/>
      <c r="Y1" s="34"/>
      <c r="Z1" s="34"/>
      <c r="AA1" s="34"/>
      <c r="AB1" s="34"/>
    </row>
    <row r="2" spans="1:37" ht="51" x14ac:dyDescent="0.8">
      <c r="A2" s="34"/>
      <c r="B2" s="34"/>
      <c r="C2" s="34"/>
      <c r="D2" s="34"/>
      <c r="E2" s="34"/>
      <c r="F2" s="34"/>
      <c r="G2" s="38" t="s">
        <v>568</v>
      </c>
      <c r="H2" s="34"/>
      <c r="I2" s="36"/>
      <c r="J2" s="34"/>
      <c r="K2" s="34"/>
      <c r="L2" s="34"/>
      <c r="M2" s="34"/>
      <c r="N2" s="34"/>
      <c r="O2" s="34"/>
      <c r="P2" s="34"/>
      <c r="Q2" s="34"/>
      <c r="R2" s="34"/>
      <c r="S2" s="34"/>
      <c r="T2" s="34"/>
      <c r="U2" s="39" t="s">
        <v>569</v>
      </c>
      <c r="V2" s="40"/>
      <c r="W2" s="40"/>
      <c r="X2" s="40"/>
      <c r="Y2" s="34"/>
      <c r="Z2" s="34"/>
      <c r="AA2" s="34"/>
      <c r="AB2" s="34"/>
    </row>
    <row r="3" spans="1:37" x14ac:dyDescent="0.25">
      <c r="A3" s="34"/>
      <c r="B3" s="34"/>
      <c r="C3" s="34"/>
      <c r="D3" s="34"/>
      <c r="E3" s="34"/>
      <c r="F3" s="34"/>
      <c r="G3" s="34"/>
      <c r="H3" s="34"/>
      <c r="I3" s="34"/>
      <c r="J3" s="34"/>
      <c r="K3" s="34"/>
      <c r="L3" s="34"/>
      <c r="M3" s="34"/>
      <c r="N3" s="34"/>
      <c r="O3" s="34"/>
      <c r="P3" s="34"/>
      <c r="Q3" s="34"/>
      <c r="R3" s="34"/>
      <c r="S3" s="34"/>
      <c r="T3" s="34"/>
      <c r="U3" s="34"/>
      <c r="V3" s="34"/>
      <c r="W3" s="34"/>
      <c r="X3" s="34"/>
      <c r="Y3" s="34"/>
      <c r="Z3" s="34"/>
      <c r="AA3" s="34"/>
      <c r="AB3" s="34"/>
    </row>
    <row r="4" spans="1:37" x14ac:dyDescent="0.25">
      <c r="A4" s="34"/>
      <c r="B4" s="34"/>
      <c r="C4" s="34"/>
      <c r="D4" s="34"/>
      <c r="E4" s="34"/>
      <c r="F4" s="34"/>
      <c r="G4" s="34"/>
      <c r="H4" s="34"/>
      <c r="I4" s="34"/>
      <c r="J4" s="34"/>
      <c r="K4" s="34"/>
      <c r="L4" s="34"/>
      <c r="M4" s="34"/>
      <c r="N4" s="34"/>
      <c r="O4" s="34"/>
      <c r="P4" s="34"/>
      <c r="Q4" s="34"/>
      <c r="R4" s="34"/>
      <c r="S4" s="34"/>
      <c r="T4" s="34"/>
      <c r="U4" s="34"/>
      <c r="V4" s="34"/>
      <c r="W4" s="34"/>
      <c r="X4" s="34"/>
      <c r="Y4" s="34"/>
      <c r="Z4" s="34"/>
      <c r="AA4" s="34"/>
      <c r="AB4" s="34"/>
    </row>
    <row r="5" spans="1:37" x14ac:dyDescent="0.25">
      <c r="A5" s="34"/>
      <c r="B5" s="34"/>
      <c r="C5" s="34"/>
      <c r="D5" s="34"/>
      <c r="E5" s="34"/>
      <c r="F5" s="34"/>
      <c r="G5" s="34"/>
      <c r="H5" s="34"/>
      <c r="I5" s="34"/>
      <c r="J5" s="34"/>
      <c r="K5" s="34"/>
      <c r="L5" s="34"/>
      <c r="M5" s="34"/>
      <c r="N5" s="34"/>
      <c r="O5" s="34"/>
      <c r="P5" s="34"/>
      <c r="Q5" s="34"/>
      <c r="R5" s="34"/>
      <c r="S5" s="34"/>
      <c r="T5" s="34"/>
      <c r="U5" s="34"/>
      <c r="V5" s="34"/>
      <c r="W5" s="34"/>
      <c r="X5" s="34"/>
      <c r="Y5" s="34"/>
      <c r="Z5" s="34"/>
      <c r="AA5" s="34"/>
      <c r="AB5" s="34"/>
    </row>
    <row r="6" spans="1:37" x14ac:dyDescent="0.25">
      <c r="A6" s="34"/>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5"/>
      <c r="AD6" s="35"/>
      <c r="AE6" s="35"/>
      <c r="AF6" s="35"/>
      <c r="AG6" s="35"/>
      <c r="AH6" s="35"/>
      <c r="AI6" s="35"/>
      <c r="AJ6" s="35"/>
      <c r="AK6" s="35"/>
    </row>
    <row r="7" spans="1:37" x14ac:dyDescent="0.25">
      <c r="A7" s="34"/>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5"/>
      <c r="AD7" s="35"/>
      <c r="AE7" s="35"/>
      <c r="AF7" s="35"/>
      <c r="AG7" s="35"/>
      <c r="AH7" s="35"/>
      <c r="AI7" s="35"/>
      <c r="AJ7" s="35"/>
      <c r="AK7" s="35"/>
    </row>
    <row r="8" spans="1:37" x14ac:dyDescent="0.25">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5"/>
      <c r="AD8" s="35"/>
      <c r="AE8" s="35"/>
      <c r="AF8" s="35"/>
      <c r="AG8" s="35"/>
      <c r="AH8" s="35"/>
      <c r="AI8" s="35"/>
      <c r="AJ8" s="35"/>
      <c r="AK8" s="35"/>
    </row>
    <row r="9" spans="1:37" x14ac:dyDescent="0.25">
      <c r="A9" s="34"/>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5"/>
      <c r="AD9" s="35"/>
      <c r="AE9" s="35"/>
      <c r="AF9" s="35"/>
      <c r="AG9" s="35"/>
      <c r="AH9" s="35"/>
      <c r="AI9" s="35"/>
      <c r="AJ9" s="35"/>
      <c r="AK9" s="35"/>
    </row>
    <row r="10" spans="1:37" x14ac:dyDescent="0.25">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5"/>
      <c r="AD10" s="35"/>
      <c r="AE10" s="35"/>
      <c r="AF10" s="35"/>
      <c r="AG10" s="35"/>
      <c r="AH10" s="35"/>
      <c r="AI10" s="35"/>
      <c r="AJ10" s="35"/>
      <c r="AK10" s="35"/>
    </row>
    <row r="11" spans="1:37" x14ac:dyDescent="0.2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5"/>
      <c r="AD11" s="35"/>
      <c r="AE11" s="35"/>
      <c r="AF11" s="35"/>
      <c r="AG11" s="35"/>
      <c r="AH11" s="35"/>
      <c r="AI11" s="35"/>
      <c r="AJ11" s="35"/>
      <c r="AK11" s="35"/>
    </row>
    <row r="12" spans="1:37" x14ac:dyDescent="0.25">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5"/>
      <c r="AD12" s="35"/>
      <c r="AE12" s="35"/>
      <c r="AF12" s="35"/>
      <c r="AG12" s="35"/>
      <c r="AH12" s="35"/>
      <c r="AI12" s="35"/>
      <c r="AJ12" s="35"/>
      <c r="AK12" s="35"/>
    </row>
    <row r="13" spans="1:37" x14ac:dyDescent="0.25">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5"/>
      <c r="AD13" s="35"/>
      <c r="AE13" s="35"/>
      <c r="AF13" s="35"/>
      <c r="AG13" s="35"/>
      <c r="AH13" s="35"/>
      <c r="AI13" s="35"/>
      <c r="AJ13" s="35"/>
      <c r="AK13" s="35"/>
    </row>
    <row r="14" spans="1:37" x14ac:dyDescent="0.25">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5"/>
      <c r="AD14" s="35"/>
      <c r="AE14" s="35"/>
      <c r="AF14" s="35"/>
      <c r="AG14" s="35"/>
      <c r="AH14" s="35"/>
      <c r="AI14" s="35"/>
      <c r="AJ14" s="35"/>
      <c r="AK14" s="35"/>
    </row>
    <row r="15" spans="1:37" x14ac:dyDescent="0.2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5"/>
      <c r="AD15" s="35"/>
      <c r="AE15" s="35"/>
      <c r="AF15" s="35"/>
      <c r="AG15" s="35"/>
      <c r="AH15" s="35"/>
      <c r="AI15" s="35"/>
      <c r="AJ15" s="35"/>
      <c r="AK15" s="35"/>
    </row>
    <row r="16" spans="1:37" x14ac:dyDescent="0.25">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5"/>
      <c r="AD16" s="35"/>
      <c r="AE16" s="35"/>
      <c r="AF16" s="35"/>
      <c r="AG16" s="35"/>
      <c r="AH16" s="35"/>
      <c r="AI16" s="35"/>
      <c r="AJ16" s="35"/>
      <c r="AK16" s="35"/>
    </row>
    <row r="17" spans="1:37" x14ac:dyDescent="0.25">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5"/>
      <c r="AD17" s="35"/>
      <c r="AE17" s="35"/>
      <c r="AF17" s="35"/>
      <c r="AG17" s="35"/>
      <c r="AH17" s="35"/>
      <c r="AI17" s="35"/>
      <c r="AJ17" s="35"/>
      <c r="AK17" s="35"/>
    </row>
    <row r="18" spans="1:37" x14ac:dyDescent="0.25">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5"/>
      <c r="AD18" s="35"/>
      <c r="AE18" s="35"/>
      <c r="AF18" s="35"/>
      <c r="AG18" s="35"/>
      <c r="AH18" s="35"/>
      <c r="AI18" s="35"/>
      <c r="AJ18" s="35"/>
      <c r="AK18" s="35"/>
    </row>
    <row r="19" spans="1:37" x14ac:dyDescent="0.25">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5"/>
      <c r="AD19" s="35"/>
      <c r="AE19" s="35"/>
      <c r="AF19" s="35"/>
      <c r="AG19" s="35"/>
      <c r="AH19" s="35"/>
      <c r="AI19" s="35"/>
      <c r="AJ19" s="35"/>
      <c r="AK19" s="35"/>
    </row>
    <row r="20" spans="1:37" x14ac:dyDescent="0.25">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5"/>
      <c r="AD20" s="35"/>
      <c r="AE20" s="35"/>
      <c r="AF20" s="35"/>
      <c r="AG20" s="35"/>
      <c r="AH20" s="35"/>
      <c r="AI20" s="35"/>
      <c r="AJ20" s="35"/>
      <c r="AK20" s="35"/>
    </row>
    <row r="21" spans="1:37" x14ac:dyDescent="0.25">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5"/>
      <c r="AD21" s="35"/>
      <c r="AE21" s="35"/>
      <c r="AF21" s="35"/>
      <c r="AG21" s="35"/>
      <c r="AH21" s="35"/>
      <c r="AI21" s="35"/>
      <c r="AJ21" s="35"/>
      <c r="AK21" s="35"/>
    </row>
    <row r="22" spans="1:37" x14ac:dyDescent="0.25">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5"/>
      <c r="AD22" s="35"/>
      <c r="AE22" s="35"/>
      <c r="AF22" s="35"/>
      <c r="AG22" s="35"/>
      <c r="AH22" s="35"/>
      <c r="AI22" s="35"/>
      <c r="AJ22" s="35"/>
      <c r="AK22" s="35"/>
    </row>
    <row r="23" spans="1:37" x14ac:dyDescent="0.25">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5"/>
      <c r="AD23" s="35"/>
      <c r="AE23" s="35"/>
      <c r="AF23" s="35"/>
      <c r="AG23" s="35"/>
      <c r="AH23" s="35"/>
      <c r="AI23" s="35"/>
      <c r="AJ23" s="35"/>
      <c r="AK23" s="35"/>
    </row>
    <row r="24" spans="1:37" x14ac:dyDescent="0.25">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5"/>
      <c r="AD24" s="35"/>
      <c r="AE24" s="35"/>
      <c r="AF24" s="35"/>
      <c r="AG24" s="35"/>
      <c r="AH24" s="35"/>
      <c r="AI24" s="35"/>
      <c r="AJ24" s="35"/>
      <c r="AK24" s="35"/>
    </row>
    <row r="25" spans="1:37" x14ac:dyDescent="0.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5"/>
      <c r="AD25" s="35"/>
      <c r="AE25" s="35"/>
      <c r="AF25" s="35"/>
      <c r="AG25" s="35"/>
      <c r="AH25" s="35"/>
      <c r="AI25" s="35"/>
      <c r="AJ25" s="35"/>
      <c r="AK25" s="35"/>
    </row>
    <row r="26" spans="1:37" x14ac:dyDescent="0.25">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5"/>
      <c r="AD26" s="35"/>
      <c r="AE26" s="35"/>
      <c r="AF26" s="35"/>
      <c r="AG26" s="35"/>
      <c r="AH26" s="35"/>
      <c r="AI26" s="35"/>
      <c r="AJ26" s="35"/>
      <c r="AK26" s="35"/>
    </row>
    <row r="27" spans="1:37" x14ac:dyDescent="0.25">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5"/>
      <c r="AD27" s="35"/>
      <c r="AE27" s="35"/>
      <c r="AF27" s="35"/>
      <c r="AG27" s="35"/>
      <c r="AH27" s="35"/>
      <c r="AI27" s="35"/>
      <c r="AJ27" s="35"/>
      <c r="AK27" s="35"/>
    </row>
    <row r="28" spans="1:37" x14ac:dyDescent="0.25">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5"/>
      <c r="AD28" s="35"/>
      <c r="AE28" s="35"/>
      <c r="AF28" s="35"/>
      <c r="AG28" s="35"/>
      <c r="AH28" s="35"/>
      <c r="AI28" s="35"/>
      <c r="AJ28" s="35"/>
      <c r="AK28" s="35"/>
    </row>
    <row r="29" spans="1:37" x14ac:dyDescent="0.25">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5"/>
      <c r="AD29" s="35"/>
      <c r="AE29" s="35"/>
      <c r="AF29" s="35"/>
      <c r="AG29" s="35"/>
      <c r="AH29" s="35"/>
      <c r="AI29" s="35"/>
      <c r="AJ29" s="35"/>
      <c r="AK29" s="35"/>
    </row>
    <row r="30" spans="1:37" x14ac:dyDescent="0.25">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5"/>
      <c r="AD30" s="35"/>
      <c r="AE30" s="35"/>
      <c r="AF30" s="35"/>
      <c r="AG30" s="35"/>
      <c r="AH30" s="35"/>
      <c r="AI30" s="35"/>
      <c r="AJ30" s="35"/>
      <c r="AK30" s="35"/>
    </row>
    <row r="31" spans="1:37" x14ac:dyDescent="0.25">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5"/>
      <c r="AD31" s="35"/>
      <c r="AE31" s="35"/>
      <c r="AF31" s="35"/>
      <c r="AG31" s="35"/>
      <c r="AH31" s="35"/>
      <c r="AI31" s="35"/>
      <c r="AJ31" s="35"/>
      <c r="AK31" s="35"/>
    </row>
    <row r="32" spans="1:37" x14ac:dyDescent="0.25">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5"/>
      <c r="AD32" s="35"/>
      <c r="AE32" s="35"/>
      <c r="AF32" s="35"/>
      <c r="AG32" s="35"/>
      <c r="AH32" s="35"/>
      <c r="AI32" s="35"/>
      <c r="AJ32" s="35"/>
      <c r="AK32" s="35"/>
    </row>
    <row r="33" spans="1:37" x14ac:dyDescent="0.25">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5"/>
      <c r="AD33" s="35"/>
      <c r="AE33" s="35"/>
      <c r="AF33" s="35"/>
      <c r="AG33" s="35"/>
      <c r="AH33" s="35"/>
      <c r="AI33" s="35"/>
      <c r="AJ33" s="35"/>
      <c r="AK33" s="35"/>
    </row>
    <row r="34" spans="1:37" x14ac:dyDescent="0.25">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5"/>
      <c r="AD34" s="35"/>
      <c r="AE34" s="35"/>
      <c r="AF34" s="35"/>
      <c r="AG34" s="35"/>
      <c r="AH34" s="35"/>
      <c r="AI34" s="35"/>
      <c r="AJ34" s="35"/>
      <c r="AK34" s="35"/>
    </row>
    <row r="35" spans="1:37" x14ac:dyDescent="0.2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5"/>
      <c r="AD35" s="35"/>
      <c r="AE35" s="35"/>
      <c r="AF35" s="35"/>
      <c r="AG35" s="35"/>
      <c r="AH35" s="35"/>
      <c r="AI35" s="35"/>
      <c r="AJ35" s="35"/>
      <c r="AK35" s="35"/>
    </row>
    <row r="36" spans="1:37" x14ac:dyDescent="0.25">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5"/>
      <c r="AD36" s="35"/>
      <c r="AE36" s="35"/>
      <c r="AF36" s="35"/>
      <c r="AG36" s="35"/>
      <c r="AH36" s="35"/>
      <c r="AI36" s="35"/>
      <c r="AJ36" s="35"/>
      <c r="AK36" s="35"/>
    </row>
    <row r="37" spans="1:37" x14ac:dyDescent="0.25">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5"/>
      <c r="AD37" s="35"/>
      <c r="AE37" s="35"/>
      <c r="AF37" s="35"/>
      <c r="AG37" s="35"/>
      <c r="AH37" s="35"/>
      <c r="AI37" s="35"/>
      <c r="AJ37" s="35"/>
      <c r="AK37" s="35"/>
    </row>
    <row r="38" spans="1:37" x14ac:dyDescent="0.25">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5"/>
      <c r="AD38" s="35"/>
      <c r="AE38" s="35"/>
      <c r="AF38" s="35"/>
      <c r="AG38" s="35"/>
      <c r="AH38" s="35"/>
      <c r="AI38" s="35"/>
      <c r="AJ38" s="35"/>
      <c r="AK38" s="35"/>
    </row>
    <row r="39" spans="1:37" x14ac:dyDescent="0.25">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5"/>
      <c r="AD39" s="35"/>
      <c r="AE39" s="35"/>
      <c r="AF39" s="35"/>
      <c r="AG39" s="35"/>
      <c r="AH39" s="35"/>
      <c r="AI39" s="35"/>
      <c r="AJ39" s="35"/>
      <c r="AK39" s="35"/>
    </row>
    <row r="40" spans="1:37" x14ac:dyDescent="0.25">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5"/>
      <c r="AD40" s="35"/>
      <c r="AE40" s="35"/>
      <c r="AF40" s="35"/>
      <c r="AG40" s="35"/>
      <c r="AH40" s="35"/>
      <c r="AI40" s="35"/>
      <c r="AJ40" s="35"/>
      <c r="AK40" s="35"/>
    </row>
    <row r="41" spans="1:37" x14ac:dyDescent="0.25">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5"/>
      <c r="AD41" s="35"/>
      <c r="AE41" s="35"/>
      <c r="AF41" s="35"/>
      <c r="AG41" s="35"/>
      <c r="AH41" s="35"/>
      <c r="AI41" s="35"/>
      <c r="AJ41" s="35"/>
      <c r="AK41" s="35"/>
    </row>
    <row r="42" spans="1:37" x14ac:dyDescent="0.25">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5"/>
      <c r="AD42" s="35"/>
      <c r="AE42" s="35"/>
      <c r="AF42" s="35"/>
      <c r="AG42" s="35"/>
      <c r="AH42" s="35"/>
      <c r="AI42" s="35"/>
      <c r="AJ42" s="35"/>
      <c r="AK42" s="35"/>
    </row>
    <row r="43" spans="1:37" x14ac:dyDescent="0.25">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5"/>
      <c r="AD43" s="35"/>
      <c r="AE43" s="35"/>
      <c r="AF43" s="35"/>
      <c r="AG43" s="35"/>
      <c r="AH43" s="35"/>
      <c r="AI43" s="35"/>
      <c r="AJ43" s="35"/>
      <c r="AK43" s="35"/>
    </row>
    <row r="44" spans="1:37" x14ac:dyDescent="0.25">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5"/>
      <c r="AD44" s="35"/>
      <c r="AE44" s="35"/>
      <c r="AF44" s="35"/>
      <c r="AG44" s="35"/>
      <c r="AH44" s="35"/>
      <c r="AI44" s="35"/>
      <c r="AJ44" s="35"/>
      <c r="AK44" s="35"/>
    </row>
    <row r="45" spans="1:37" x14ac:dyDescent="0.2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5"/>
      <c r="AD45" s="35"/>
      <c r="AE45" s="35"/>
      <c r="AF45" s="35"/>
      <c r="AG45" s="35"/>
      <c r="AH45" s="35"/>
      <c r="AI45" s="35"/>
      <c r="AJ45" s="35"/>
      <c r="AK45" s="35"/>
    </row>
    <row r="46" spans="1:37" x14ac:dyDescent="0.25">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5"/>
      <c r="AD46" s="35"/>
      <c r="AE46" s="35"/>
      <c r="AF46" s="35"/>
      <c r="AG46" s="35"/>
      <c r="AH46" s="35"/>
      <c r="AI46" s="35"/>
      <c r="AJ46" s="35"/>
      <c r="AK46" s="35"/>
    </row>
    <row r="47" spans="1:37" x14ac:dyDescent="0.25">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5"/>
      <c r="AD47" s="35"/>
      <c r="AE47" s="35"/>
      <c r="AF47" s="35"/>
      <c r="AG47" s="35"/>
      <c r="AH47" s="35"/>
      <c r="AI47" s="35"/>
      <c r="AJ47" s="35"/>
      <c r="AK47" s="35"/>
    </row>
    <row r="48" spans="1:37" x14ac:dyDescent="0.25">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5"/>
      <c r="AD48" s="35"/>
      <c r="AE48" s="35"/>
      <c r="AF48" s="35"/>
      <c r="AG48" s="35"/>
      <c r="AH48" s="35"/>
      <c r="AI48" s="35"/>
      <c r="AJ48" s="35"/>
      <c r="AK48" s="35"/>
    </row>
    <row r="49" spans="1:46" x14ac:dyDescent="0.25">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5"/>
      <c r="AD49" s="35"/>
      <c r="AE49" s="35"/>
      <c r="AF49" s="35"/>
      <c r="AG49" s="35"/>
      <c r="AH49" s="35"/>
      <c r="AI49" s="35"/>
      <c r="AJ49" s="35"/>
      <c r="AK49" s="35"/>
    </row>
    <row r="50" spans="1:46" x14ac:dyDescent="0.25">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5"/>
      <c r="AD50" s="35"/>
      <c r="AE50" s="35"/>
      <c r="AF50" s="35"/>
      <c r="AG50" s="35"/>
      <c r="AH50" s="35"/>
      <c r="AI50" s="35"/>
      <c r="AJ50" s="35"/>
      <c r="AK50" s="35"/>
    </row>
    <row r="51" spans="1:46" x14ac:dyDescent="0.25">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5"/>
      <c r="AD51" s="35"/>
      <c r="AE51" s="35"/>
      <c r="AF51" s="35"/>
      <c r="AG51" s="35"/>
      <c r="AH51" s="35"/>
      <c r="AI51" s="35"/>
      <c r="AJ51" s="35"/>
      <c r="AK51" s="35"/>
    </row>
    <row r="52" spans="1:46" x14ac:dyDescent="0.25">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5"/>
      <c r="AD52" s="35"/>
      <c r="AE52" s="35"/>
      <c r="AF52" s="35"/>
      <c r="AG52" s="35"/>
      <c r="AH52" s="35"/>
      <c r="AI52" s="35"/>
      <c r="AJ52" s="35"/>
      <c r="AK52" s="35"/>
    </row>
    <row r="53" spans="1:46" x14ac:dyDescent="0.25">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5"/>
      <c r="AD53" s="35"/>
      <c r="AE53" s="35"/>
      <c r="AF53" s="35"/>
      <c r="AG53" s="35"/>
      <c r="AH53" s="35"/>
      <c r="AI53" s="35"/>
      <c r="AJ53" s="35"/>
      <c r="AK53" s="35"/>
    </row>
    <row r="54" spans="1:46" x14ac:dyDescent="0.25">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7"/>
      <c r="AD54" s="37"/>
      <c r="AE54" s="37"/>
      <c r="AF54" s="37"/>
      <c r="AG54" s="37"/>
      <c r="AH54" s="37"/>
      <c r="AI54" s="37"/>
      <c r="AJ54" s="37"/>
      <c r="AK54" s="37"/>
      <c r="AL54" s="37"/>
      <c r="AM54" s="37"/>
      <c r="AN54" s="37"/>
      <c r="AO54" s="37"/>
      <c r="AP54" s="37"/>
      <c r="AQ54" s="37"/>
      <c r="AR54" s="37"/>
      <c r="AS54" s="37"/>
      <c r="AT54" s="37"/>
    </row>
    <row r="55" spans="1:46" x14ac:dyDescent="0.2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7"/>
      <c r="AD55" s="37"/>
      <c r="AE55" s="37"/>
      <c r="AF55" s="37"/>
      <c r="AG55" s="37"/>
      <c r="AH55" s="37"/>
      <c r="AI55" s="37"/>
      <c r="AJ55" s="37"/>
      <c r="AK55" s="37"/>
      <c r="AL55" s="37"/>
      <c r="AM55" s="37"/>
      <c r="AN55" s="37"/>
      <c r="AO55" s="37"/>
      <c r="AP55" s="37"/>
      <c r="AQ55" s="37"/>
      <c r="AR55" s="37"/>
      <c r="AS55" s="37"/>
      <c r="AT55" s="37"/>
    </row>
    <row r="56" spans="1:46" x14ac:dyDescent="0.25">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7"/>
      <c r="AD56" s="37"/>
      <c r="AE56" s="37"/>
      <c r="AF56" s="37"/>
      <c r="AG56" s="37"/>
      <c r="AH56" s="37"/>
      <c r="AI56" s="37"/>
      <c r="AJ56" s="37"/>
      <c r="AK56" s="37"/>
      <c r="AL56" s="37"/>
      <c r="AM56" s="37"/>
      <c r="AN56" s="37"/>
      <c r="AO56" s="37"/>
      <c r="AP56" s="37"/>
      <c r="AQ56" s="37"/>
      <c r="AR56" s="37"/>
      <c r="AS56" s="37"/>
      <c r="AT56" s="37"/>
    </row>
    <row r="57" spans="1:46" x14ac:dyDescent="0.25">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7"/>
      <c r="AD57" s="37"/>
      <c r="AE57" s="37"/>
      <c r="AF57" s="37"/>
      <c r="AG57" s="37"/>
      <c r="AH57" s="37"/>
      <c r="AI57" s="37"/>
      <c r="AJ57" s="37"/>
      <c r="AK57" s="37"/>
      <c r="AL57" s="37"/>
      <c r="AM57" s="37"/>
      <c r="AN57" s="37"/>
      <c r="AO57" s="37"/>
      <c r="AP57" s="37"/>
      <c r="AQ57" s="37"/>
      <c r="AR57" s="37"/>
      <c r="AS57" s="37"/>
      <c r="AT57" s="37"/>
    </row>
    <row r="58" spans="1:46" x14ac:dyDescent="0.25">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7"/>
      <c r="AD58" s="37"/>
      <c r="AE58" s="37"/>
      <c r="AF58" s="37"/>
      <c r="AG58" s="37"/>
      <c r="AH58" s="37"/>
      <c r="AI58" s="37"/>
      <c r="AJ58" s="37"/>
      <c r="AK58" s="37"/>
      <c r="AL58" s="37"/>
      <c r="AM58" s="37"/>
      <c r="AN58" s="37"/>
      <c r="AO58" s="37"/>
      <c r="AP58" s="37"/>
      <c r="AQ58" s="37"/>
      <c r="AR58" s="37"/>
      <c r="AS58" s="37"/>
      <c r="AT58" s="37"/>
    </row>
    <row r="59" spans="1:46" x14ac:dyDescent="0.25">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row>
    <row r="60" spans="1:46" x14ac:dyDescent="0.25">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row>
    <row r="61" spans="1:46" x14ac:dyDescent="0.25">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row>
    <row r="62" spans="1:46" x14ac:dyDescent="0.25">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row>
    <row r="63" spans="1:46" x14ac:dyDescent="0.25">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6A0F8-91AA-4B13-B336-39D972B857C6}">
  <dimension ref="B2:C94"/>
  <sheetViews>
    <sheetView showGridLines="0" topLeftCell="A70" zoomScale="90" workbookViewId="0">
      <selection activeCell="L7" sqref="L7"/>
    </sheetView>
  </sheetViews>
  <sheetFormatPr defaultRowHeight="15" x14ac:dyDescent="0.25"/>
  <sheetData>
    <row r="2" spans="2:3" ht="18.75" x14ac:dyDescent="0.3">
      <c r="B2" s="30" t="s">
        <v>433</v>
      </c>
    </row>
    <row r="4" spans="2:3" x14ac:dyDescent="0.25">
      <c r="B4">
        <v>1</v>
      </c>
      <c r="C4" t="s">
        <v>488</v>
      </c>
    </row>
    <row r="5" spans="2:3" x14ac:dyDescent="0.25">
      <c r="B5">
        <v>2</v>
      </c>
      <c r="C5" t="s">
        <v>465</v>
      </c>
    </row>
    <row r="6" spans="2:3" x14ac:dyDescent="0.25">
      <c r="B6">
        <v>3</v>
      </c>
      <c r="C6" t="s">
        <v>468</v>
      </c>
    </row>
    <row r="7" spans="2:3" x14ac:dyDescent="0.25">
      <c r="B7">
        <v>4</v>
      </c>
      <c r="C7" t="s">
        <v>485</v>
      </c>
    </row>
    <row r="8" spans="2:3" x14ac:dyDescent="0.25">
      <c r="B8">
        <v>5</v>
      </c>
      <c r="C8" t="s">
        <v>461</v>
      </c>
    </row>
    <row r="9" spans="2:3" x14ac:dyDescent="0.25">
      <c r="B9">
        <v>6</v>
      </c>
      <c r="C9" t="s">
        <v>483</v>
      </c>
    </row>
    <row r="12" spans="2:3" x14ac:dyDescent="0.25">
      <c r="B12">
        <v>7</v>
      </c>
      <c r="C12" t="s">
        <v>570</v>
      </c>
    </row>
    <row r="13" spans="2:3" x14ac:dyDescent="0.25">
      <c r="B13">
        <v>8</v>
      </c>
      <c r="C13" t="s">
        <v>434</v>
      </c>
    </row>
    <row r="14" spans="2:3" x14ac:dyDescent="0.25">
      <c r="B14">
        <v>9</v>
      </c>
      <c r="C14" t="s">
        <v>435</v>
      </c>
    </row>
    <row r="15" spans="2:3" x14ac:dyDescent="0.25">
      <c r="B15">
        <v>10</v>
      </c>
      <c r="C15" t="s">
        <v>436</v>
      </c>
    </row>
    <row r="16" spans="2:3" x14ac:dyDescent="0.25">
      <c r="B16">
        <v>11</v>
      </c>
      <c r="C16" t="s">
        <v>437</v>
      </c>
    </row>
    <row r="17" spans="2:3" x14ac:dyDescent="0.25">
      <c r="B17">
        <v>12</v>
      </c>
      <c r="C17" t="s">
        <v>487</v>
      </c>
    </row>
    <row r="20" spans="2:3" ht="18.75" x14ac:dyDescent="0.3">
      <c r="B20" s="30" t="s">
        <v>505</v>
      </c>
    </row>
    <row r="21" spans="2:3" x14ac:dyDescent="0.25">
      <c r="C21" s="9" t="s">
        <v>506</v>
      </c>
    </row>
    <row r="22" spans="2:3" x14ac:dyDescent="0.25">
      <c r="C22" t="s">
        <v>507</v>
      </c>
    </row>
    <row r="23" spans="2:3" x14ac:dyDescent="0.25">
      <c r="C23" t="s">
        <v>508</v>
      </c>
    </row>
    <row r="24" spans="2:3" x14ac:dyDescent="0.25">
      <c r="C24" t="s">
        <v>509</v>
      </c>
    </row>
    <row r="25" spans="2:3" x14ac:dyDescent="0.25">
      <c r="C25" t="s">
        <v>510</v>
      </c>
    </row>
    <row r="27" spans="2:3" x14ac:dyDescent="0.25">
      <c r="C27" s="9" t="s">
        <v>511</v>
      </c>
    </row>
    <row r="28" spans="2:3" x14ac:dyDescent="0.25">
      <c r="C28" t="s">
        <v>512</v>
      </c>
    </row>
    <row r="29" spans="2:3" x14ac:dyDescent="0.25">
      <c r="C29" t="s">
        <v>513</v>
      </c>
    </row>
    <row r="30" spans="2:3" x14ac:dyDescent="0.25">
      <c r="C30" t="s">
        <v>514</v>
      </c>
    </row>
    <row r="31" spans="2:3" x14ac:dyDescent="0.25">
      <c r="C31" t="s">
        <v>515</v>
      </c>
    </row>
    <row r="32" spans="2:3" x14ac:dyDescent="0.25">
      <c r="C32" t="s">
        <v>516</v>
      </c>
    </row>
    <row r="33" spans="3:3" x14ac:dyDescent="0.25">
      <c r="C33" t="s">
        <v>517</v>
      </c>
    </row>
    <row r="35" spans="3:3" x14ac:dyDescent="0.25">
      <c r="C35" s="9" t="s">
        <v>518</v>
      </c>
    </row>
    <row r="36" spans="3:3" x14ac:dyDescent="0.25">
      <c r="C36" t="s">
        <v>519</v>
      </c>
    </row>
    <row r="37" spans="3:3" x14ac:dyDescent="0.25">
      <c r="C37" t="s">
        <v>520</v>
      </c>
    </row>
    <row r="38" spans="3:3" x14ac:dyDescent="0.25">
      <c r="C38" t="s">
        <v>521</v>
      </c>
    </row>
    <row r="40" spans="3:3" x14ac:dyDescent="0.25">
      <c r="C40" s="9" t="s">
        <v>522</v>
      </c>
    </row>
    <row r="41" spans="3:3" x14ac:dyDescent="0.25">
      <c r="C41" t="s">
        <v>524</v>
      </c>
    </row>
    <row r="42" spans="3:3" x14ac:dyDescent="0.25">
      <c r="C42" t="s">
        <v>525</v>
      </c>
    </row>
    <row r="43" spans="3:3" x14ac:dyDescent="0.25">
      <c r="C43" t="s">
        <v>526</v>
      </c>
    </row>
    <row r="44" spans="3:3" x14ac:dyDescent="0.25">
      <c r="C44" t="s">
        <v>527</v>
      </c>
    </row>
    <row r="45" spans="3:3" x14ac:dyDescent="0.25">
      <c r="C45" t="s">
        <v>523</v>
      </c>
    </row>
    <row r="46" spans="3:3" x14ac:dyDescent="0.25">
      <c r="C46" t="s">
        <v>528</v>
      </c>
    </row>
    <row r="47" spans="3:3" x14ac:dyDescent="0.25">
      <c r="C47" t="s">
        <v>529</v>
      </c>
    </row>
    <row r="49" spans="3:3" x14ac:dyDescent="0.25">
      <c r="C49" s="9" t="s">
        <v>530</v>
      </c>
    </row>
    <row r="50" spans="3:3" x14ac:dyDescent="0.25">
      <c r="C50" t="s">
        <v>531</v>
      </c>
    </row>
    <row r="51" spans="3:3" x14ac:dyDescent="0.25">
      <c r="C51" t="s">
        <v>532</v>
      </c>
    </row>
    <row r="52" spans="3:3" x14ac:dyDescent="0.25">
      <c r="C52" t="s">
        <v>533</v>
      </c>
    </row>
    <row r="53" spans="3:3" x14ac:dyDescent="0.25">
      <c r="C53" t="s">
        <v>534</v>
      </c>
    </row>
    <row r="54" spans="3:3" x14ac:dyDescent="0.25">
      <c r="C54" t="s">
        <v>535</v>
      </c>
    </row>
    <row r="56" spans="3:3" x14ac:dyDescent="0.25">
      <c r="C56" s="9" t="s">
        <v>536</v>
      </c>
    </row>
    <row r="57" spans="3:3" x14ac:dyDescent="0.25">
      <c r="C57" t="s">
        <v>537</v>
      </c>
    </row>
    <row r="58" spans="3:3" x14ac:dyDescent="0.25">
      <c r="C58" t="s">
        <v>538</v>
      </c>
    </row>
    <row r="59" spans="3:3" x14ac:dyDescent="0.25">
      <c r="C59" t="s">
        <v>539</v>
      </c>
    </row>
    <row r="60" spans="3:3" x14ac:dyDescent="0.25">
      <c r="C60" t="s">
        <v>540</v>
      </c>
    </row>
    <row r="61" spans="3:3" x14ac:dyDescent="0.25">
      <c r="C61" t="s">
        <v>541</v>
      </c>
    </row>
    <row r="63" spans="3:3" x14ac:dyDescent="0.25">
      <c r="C63" s="9" t="s">
        <v>542</v>
      </c>
    </row>
    <row r="64" spans="3:3" x14ac:dyDescent="0.25">
      <c r="C64" t="s">
        <v>543</v>
      </c>
    </row>
    <row r="65" spans="2:3" x14ac:dyDescent="0.25">
      <c r="C65" t="s">
        <v>544</v>
      </c>
    </row>
    <row r="66" spans="2:3" x14ac:dyDescent="0.25">
      <c r="C66" t="s">
        <v>545</v>
      </c>
    </row>
    <row r="67" spans="2:3" x14ac:dyDescent="0.25">
      <c r="C67" t="s">
        <v>546</v>
      </c>
    </row>
    <row r="70" spans="2:3" ht="18.75" x14ac:dyDescent="0.3">
      <c r="B70" s="30" t="s">
        <v>547</v>
      </c>
    </row>
    <row r="71" spans="2:3" x14ac:dyDescent="0.25">
      <c r="B71" s="9" t="s">
        <v>548</v>
      </c>
    </row>
    <row r="72" spans="2:3" x14ac:dyDescent="0.25">
      <c r="C72" t="s">
        <v>549</v>
      </c>
    </row>
    <row r="73" spans="2:3" x14ac:dyDescent="0.25">
      <c r="C73" t="s">
        <v>550</v>
      </c>
    </row>
    <row r="74" spans="2:3" x14ac:dyDescent="0.25">
      <c r="C74" t="s">
        <v>551</v>
      </c>
    </row>
    <row r="76" spans="2:3" x14ac:dyDescent="0.25">
      <c r="B76" s="9" t="s">
        <v>552</v>
      </c>
    </row>
    <row r="77" spans="2:3" x14ac:dyDescent="0.25">
      <c r="C77" t="s">
        <v>553</v>
      </c>
    </row>
    <row r="78" spans="2:3" x14ac:dyDescent="0.25">
      <c r="C78" t="s">
        <v>554</v>
      </c>
    </row>
    <row r="79" spans="2:3" x14ac:dyDescent="0.25">
      <c r="C79" t="s">
        <v>555</v>
      </c>
    </row>
    <row r="81" spans="2:3" x14ac:dyDescent="0.25">
      <c r="B81" s="9" t="s">
        <v>556</v>
      </c>
    </row>
    <row r="82" spans="2:3" x14ac:dyDescent="0.25">
      <c r="C82" t="s">
        <v>557</v>
      </c>
    </row>
    <row r="83" spans="2:3" x14ac:dyDescent="0.25">
      <c r="C83" t="s">
        <v>558</v>
      </c>
    </row>
    <row r="84" spans="2:3" x14ac:dyDescent="0.25">
      <c r="C84" t="s">
        <v>559</v>
      </c>
    </row>
    <row r="86" spans="2:3" x14ac:dyDescent="0.25">
      <c r="B86" s="9" t="s">
        <v>560</v>
      </c>
    </row>
    <row r="87" spans="2:3" x14ac:dyDescent="0.25">
      <c r="C87" t="s">
        <v>561</v>
      </c>
    </row>
    <row r="88" spans="2:3" x14ac:dyDescent="0.25">
      <c r="C88" t="s">
        <v>562</v>
      </c>
    </row>
    <row r="89" spans="2:3" x14ac:dyDescent="0.25">
      <c r="C89" t="s">
        <v>563</v>
      </c>
    </row>
    <row r="91" spans="2:3" x14ac:dyDescent="0.25">
      <c r="B91" s="9" t="s">
        <v>564</v>
      </c>
    </row>
    <row r="92" spans="2:3" x14ac:dyDescent="0.25">
      <c r="C92" t="s">
        <v>565</v>
      </c>
    </row>
    <row r="93" spans="2:3" x14ac:dyDescent="0.25">
      <c r="C93" t="s">
        <v>566</v>
      </c>
    </row>
    <row r="94" spans="2:3" x14ac:dyDescent="0.25">
      <c r="C94" t="s">
        <v>567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548A8-0718-4966-ACA7-864700C4D752}">
  <dimension ref="A3:A24"/>
  <sheetViews>
    <sheetView workbookViewId="0">
      <selection activeCell="A3" sqref="A3"/>
    </sheetView>
  </sheetViews>
  <sheetFormatPr defaultRowHeight="15" x14ac:dyDescent="0.25"/>
  <cols>
    <col min="1" max="1" width="16.28515625" bestFit="1" customWidth="1"/>
    <col min="2" max="2" width="7.140625" bestFit="1" customWidth="1"/>
    <col min="3" max="3" width="9.28515625" bestFit="1" customWidth="1"/>
    <col min="4" max="4" width="9.7109375" bestFit="1" customWidth="1"/>
    <col min="5" max="5" width="11.28515625" bestFit="1" customWidth="1"/>
  </cols>
  <sheetData>
    <row r="3" spans="1:1" x14ac:dyDescent="0.25">
      <c r="A3" s="20" t="s">
        <v>438</v>
      </c>
    </row>
    <row r="4" spans="1:1" x14ac:dyDescent="0.25">
      <c r="A4" s="21" t="s">
        <v>475</v>
      </c>
    </row>
    <row r="5" spans="1:1" x14ac:dyDescent="0.25">
      <c r="A5" s="41" t="s">
        <v>412</v>
      </c>
    </row>
    <row r="6" spans="1:1" x14ac:dyDescent="0.25">
      <c r="A6" s="21" t="s">
        <v>473</v>
      </c>
    </row>
    <row r="7" spans="1:1" x14ac:dyDescent="0.25">
      <c r="A7" s="41" t="s">
        <v>412</v>
      </c>
    </row>
    <row r="8" spans="1:1" x14ac:dyDescent="0.25">
      <c r="A8" s="21" t="s">
        <v>470</v>
      </c>
    </row>
    <row r="9" spans="1:1" x14ac:dyDescent="0.25">
      <c r="A9" s="41" t="s">
        <v>409</v>
      </c>
    </row>
    <row r="10" spans="1:1" x14ac:dyDescent="0.25">
      <c r="A10" s="21" t="s">
        <v>471</v>
      </c>
    </row>
    <row r="11" spans="1:1" x14ac:dyDescent="0.25">
      <c r="A11" s="41" t="s">
        <v>412</v>
      </c>
    </row>
    <row r="12" spans="1:1" x14ac:dyDescent="0.25">
      <c r="A12" s="21" t="s">
        <v>472</v>
      </c>
    </row>
    <row r="13" spans="1:1" x14ac:dyDescent="0.25">
      <c r="A13" s="41" t="s">
        <v>412</v>
      </c>
    </row>
    <row r="14" spans="1:1" x14ac:dyDescent="0.25">
      <c r="A14" s="21" t="s">
        <v>477</v>
      </c>
    </row>
    <row r="15" spans="1:1" x14ac:dyDescent="0.25">
      <c r="A15" s="41" t="s">
        <v>409</v>
      </c>
    </row>
    <row r="16" spans="1:1" x14ac:dyDescent="0.25">
      <c r="A16" s="21" t="s">
        <v>479</v>
      </c>
    </row>
    <row r="17" spans="1:1" x14ac:dyDescent="0.25">
      <c r="A17" s="41" t="s">
        <v>420</v>
      </c>
    </row>
    <row r="18" spans="1:1" x14ac:dyDescent="0.25">
      <c r="A18" s="21" t="s">
        <v>476</v>
      </c>
    </row>
    <row r="19" spans="1:1" x14ac:dyDescent="0.25">
      <c r="A19" s="41" t="s">
        <v>420</v>
      </c>
    </row>
    <row r="20" spans="1:1" x14ac:dyDescent="0.25">
      <c r="A20" s="21" t="s">
        <v>478</v>
      </c>
    </row>
    <row r="21" spans="1:1" x14ac:dyDescent="0.25">
      <c r="A21" s="41" t="s">
        <v>412</v>
      </c>
    </row>
    <row r="22" spans="1:1" x14ac:dyDescent="0.25">
      <c r="A22" s="21" t="s">
        <v>474</v>
      </c>
    </row>
    <row r="23" spans="1:1" x14ac:dyDescent="0.25">
      <c r="A23" s="41" t="s">
        <v>409</v>
      </c>
    </row>
    <row r="24" spans="1:1" x14ac:dyDescent="0.25">
      <c r="A24" s="21" t="s">
        <v>439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B8C55-5F43-4E33-8C12-5C1E095CDC86}">
  <dimension ref="A3:B14"/>
  <sheetViews>
    <sheetView workbookViewId="0">
      <selection activeCell="Z5" sqref="Z5"/>
    </sheetView>
  </sheetViews>
  <sheetFormatPr defaultRowHeight="15" x14ac:dyDescent="0.25"/>
  <cols>
    <col min="1" max="1" width="13.140625" bestFit="1" customWidth="1"/>
    <col min="2" max="2" width="23.7109375" bestFit="1" customWidth="1"/>
  </cols>
  <sheetData>
    <row r="3" spans="1:2" x14ac:dyDescent="0.25">
      <c r="A3" s="20" t="s">
        <v>438</v>
      </c>
      <c r="B3" t="s">
        <v>440</v>
      </c>
    </row>
    <row r="4" spans="1:2" x14ac:dyDescent="0.25">
      <c r="A4" s="21" t="s">
        <v>475</v>
      </c>
      <c r="B4" s="22">
        <v>24</v>
      </c>
    </row>
    <row r="5" spans="1:2" x14ac:dyDescent="0.25">
      <c r="A5" s="21" t="s">
        <v>473</v>
      </c>
      <c r="B5" s="22">
        <v>14</v>
      </c>
    </row>
    <row r="6" spans="1:2" x14ac:dyDescent="0.25">
      <c r="A6" s="21" t="s">
        <v>470</v>
      </c>
      <c r="B6" s="22">
        <v>25</v>
      </c>
    </row>
    <row r="7" spans="1:2" x14ac:dyDescent="0.25">
      <c r="A7" s="21" t="s">
        <v>471</v>
      </c>
      <c r="B7" s="22">
        <v>21</v>
      </c>
    </row>
    <row r="8" spans="1:2" x14ac:dyDescent="0.25">
      <c r="A8" s="21" t="s">
        <v>472</v>
      </c>
      <c r="B8" s="22">
        <v>22</v>
      </c>
    </row>
    <row r="9" spans="1:2" x14ac:dyDescent="0.25">
      <c r="A9" s="21" t="s">
        <v>477</v>
      </c>
      <c r="B9" s="22">
        <v>16</v>
      </c>
    </row>
    <row r="10" spans="1:2" x14ac:dyDescent="0.25">
      <c r="A10" s="21" t="s">
        <v>479</v>
      </c>
      <c r="B10" s="22">
        <v>19</v>
      </c>
    </row>
    <row r="11" spans="1:2" x14ac:dyDescent="0.25">
      <c r="A11" s="21" t="s">
        <v>476</v>
      </c>
      <c r="B11" s="22">
        <v>13</v>
      </c>
    </row>
    <row r="12" spans="1:2" x14ac:dyDescent="0.25">
      <c r="A12" s="21" t="s">
        <v>478</v>
      </c>
      <c r="B12" s="22">
        <v>17</v>
      </c>
    </row>
    <row r="13" spans="1:2" x14ac:dyDescent="0.25">
      <c r="A13" s="21" t="s">
        <v>474</v>
      </c>
      <c r="B13" s="22">
        <v>29</v>
      </c>
    </row>
    <row r="14" spans="1:2" x14ac:dyDescent="0.25">
      <c r="A14" s="21" t="s">
        <v>439</v>
      </c>
      <c r="B14" s="22">
        <v>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DFC9B-1324-4346-AC66-E302000393E3}">
  <dimension ref="A3:B12"/>
  <sheetViews>
    <sheetView workbookViewId="0">
      <selection activeCell="D23" sqref="D23"/>
    </sheetView>
  </sheetViews>
  <sheetFormatPr defaultRowHeight="15" x14ac:dyDescent="0.25"/>
  <cols>
    <col min="1" max="1" width="13.140625" bestFit="1" customWidth="1"/>
    <col min="2" max="2" width="23.7109375" bestFit="1" customWidth="1"/>
  </cols>
  <sheetData>
    <row r="3" spans="1:2" x14ac:dyDescent="0.25">
      <c r="A3" s="20" t="s">
        <v>438</v>
      </c>
      <c r="B3" t="s">
        <v>440</v>
      </c>
    </row>
    <row r="4" spans="1:2" x14ac:dyDescent="0.25">
      <c r="A4" s="21" t="s">
        <v>29</v>
      </c>
      <c r="B4" s="22">
        <v>45</v>
      </c>
    </row>
    <row r="5" spans="1:2" x14ac:dyDescent="0.25">
      <c r="A5" s="21" t="s">
        <v>18</v>
      </c>
      <c r="B5" s="22">
        <v>43</v>
      </c>
    </row>
    <row r="6" spans="1:2" x14ac:dyDescent="0.25">
      <c r="A6" s="21" t="s">
        <v>26</v>
      </c>
      <c r="B6" s="22">
        <v>29</v>
      </c>
    </row>
    <row r="7" spans="1:2" x14ac:dyDescent="0.25">
      <c r="A7" s="21" t="s">
        <v>38</v>
      </c>
      <c r="B7" s="22">
        <v>41</v>
      </c>
    </row>
    <row r="8" spans="1:2" x14ac:dyDescent="0.25">
      <c r="A8" s="21" t="s">
        <v>10</v>
      </c>
      <c r="B8" s="22">
        <v>42</v>
      </c>
    </row>
    <row r="9" spans="1:2" x14ac:dyDescent="0.25">
      <c r="A9" s="21" t="s">
        <v>439</v>
      </c>
      <c r="B9" s="22">
        <v>200</v>
      </c>
    </row>
    <row r="12" spans="1:2" x14ac:dyDescent="0.25">
      <c r="B12">
        <f>GETPIVOTDATA("appointment_id",$A$3)</f>
        <v>200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88186-B4A7-4D31-AF26-4870D6274DEF}">
  <dimension ref="A3:B16"/>
  <sheetViews>
    <sheetView workbookViewId="0">
      <selection activeCell="F25" sqref="F25"/>
    </sheetView>
  </sheetViews>
  <sheetFormatPr defaultRowHeight="15" x14ac:dyDescent="0.25"/>
  <cols>
    <col min="1" max="1" width="13.140625" bestFit="1" customWidth="1"/>
    <col min="2" max="2" width="23.7109375" bestFit="1" customWidth="1"/>
  </cols>
  <sheetData>
    <row r="3" spans="1:2" x14ac:dyDescent="0.25">
      <c r="A3" s="20" t="s">
        <v>438</v>
      </c>
      <c r="B3" t="s">
        <v>440</v>
      </c>
    </row>
    <row r="4" spans="1:2" x14ac:dyDescent="0.25">
      <c r="A4" s="21" t="s">
        <v>441</v>
      </c>
      <c r="B4" s="22">
        <v>20</v>
      </c>
    </row>
    <row r="5" spans="1:2" x14ac:dyDescent="0.25">
      <c r="A5" s="21" t="s">
        <v>442</v>
      </c>
      <c r="B5" s="22">
        <v>14</v>
      </c>
    </row>
    <row r="6" spans="1:2" x14ac:dyDescent="0.25">
      <c r="A6" s="21" t="s">
        <v>443</v>
      </c>
      <c r="B6" s="22">
        <v>19</v>
      </c>
    </row>
    <row r="7" spans="1:2" x14ac:dyDescent="0.25">
      <c r="A7" s="21" t="s">
        <v>444</v>
      </c>
      <c r="B7" s="22">
        <v>25</v>
      </c>
    </row>
    <row r="8" spans="1:2" x14ac:dyDescent="0.25">
      <c r="A8" s="21" t="s">
        <v>445</v>
      </c>
      <c r="B8" s="22">
        <v>19</v>
      </c>
    </row>
    <row r="9" spans="1:2" x14ac:dyDescent="0.25">
      <c r="A9" s="21" t="s">
        <v>446</v>
      </c>
      <c r="B9" s="22">
        <v>18</v>
      </c>
    </row>
    <row r="10" spans="1:2" x14ac:dyDescent="0.25">
      <c r="A10" s="21" t="s">
        <v>447</v>
      </c>
      <c r="B10" s="22">
        <v>16</v>
      </c>
    </row>
    <row r="11" spans="1:2" x14ac:dyDescent="0.25">
      <c r="A11" s="21" t="s">
        <v>448</v>
      </c>
      <c r="B11" s="22">
        <v>15</v>
      </c>
    </row>
    <row r="12" spans="1:2" x14ac:dyDescent="0.25">
      <c r="A12" s="21" t="s">
        <v>449</v>
      </c>
      <c r="B12" s="22">
        <v>11</v>
      </c>
    </row>
    <row r="13" spans="1:2" x14ac:dyDescent="0.25">
      <c r="A13" s="21" t="s">
        <v>450</v>
      </c>
      <c r="B13" s="22">
        <v>14</v>
      </c>
    </row>
    <row r="14" spans="1:2" x14ac:dyDescent="0.25">
      <c r="A14" s="21" t="s">
        <v>451</v>
      </c>
      <c r="B14" s="22">
        <v>17</v>
      </c>
    </row>
    <row r="15" spans="1:2" x14ac:dyDescent="0.25">
      <c r="A15" s="21" t="s">
        <v>452</v>
      </c>
      <c r="B15" s="22">
        <v>12</v>
      </c>
    </row>
    <row r="16" spans="1:2" x14ac:dyDescent="0.25">
      <c r="A16" s="21" t="s">
        <v>439</v>
      </c>
      <c r="B16" s="22">
        <v>200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7D429-56E8-4C97-BF80-8A6200AE04C4}">
  <dimension ref="A3:B7"/>
  <sheetViews>
    <sheetView workbookViewId="0">
      <selection activeCell="E24" sqref="E24"/>
    </sheetView>
  </sheetViews>
  <sheetFormatPr defaultRowHeight="15" x14ac:dyDescent="0.25"/>
  <cols>
    <col min="1" max="1" width="13.140625" bestFit="1" customWidth="1"/>
    <col min="2" max="2" width="23.7109375" bestFit="1" customWidth="1"/>
  </cols>
  <sheetData>
    <row r="3" spans="1:2" x14ac:dyDescent="0.25">
      <c r="A3" s="20" t="s">
        <v>438</v>
      </c>
      <c r="B3" t="s">
        <v>440</v>
      </c>
    </row>
    <row r="4" spans="1:2" x14ac:dyDescent="0.25">
      <c r="A4" s="21" t="s">
        <v>409</v>
      </c>
      <c r="B4" s="22">
        <v>70</v>
      </c>
    </row>
    <row r="5" spans="1:2" x14ac:dyDescent="0.25">
      <c r="A5" s="21" t="s">
        <v>420</v>
      </c>
      <c r="B5" s="22">
        <v>32</v>
      </c>
    </row>
    <row r="6" spans="1:2" x14ac:dyDescent="0.25">
      <c r="A6" s="21" t="s">
        <v>412</v>
      </c>
      <c r="B6" s="22">
        <v>98</v>
      </c>
    </row>
    <row r="7" spans="1:2" x14ac:dyDescent="0.25">
      <c r="A7" s="21" t="s">
        <v>439</v>
      </c>
      <c r="B7" s="22">
        <v>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6F22C-AD86-4646-AADF-B36254E6024F}">
  <dimension ref="A3:B6"/>
  <sheetViews>
    <sheetView workbookViewId="0">
      <selection activeCell="C2" sqref="C2"/>
    </sheetView>
  </sheetViews>
  <sheetFormatPr defaultRowHeight="15" x14ac:dyDescent="0.25"/>
  <cols>
    <col min="1" max="1" width="13.140625" bestFit="1" customWidth="1"/>
    <col min="2" max="2" width="23.7109375" bestFit="1" customWidth="1"/>
  </cols>
  <sheetData>
    <row r="3" spans="1:2" x14ac:dyDescent="0.25">
      <c r="A3" s="20" t="s">
        <v>438</v>
      </c>
      <c r="B3" t="s">
        <v>440</v>
      </c>
    </row>
    <row r="4" spans="1:2" x14ac:dyDescent="0.25">
      <c r="A4" s="21" t="s">
        <v>286</v>
      </c>
      <c r="B4" s="22">
        <v>70</v>
      </c>
    </row>
    <row r="5" spans="1:2" x14ac:dyDescent="0.25">
      <c r="A5" s="21" t="s">
        <v>299</v>
      </c>
      <c r="B5" s="22">
        <v>130</v>
      </c>
    </row>
    <row r="6" spans="1:2" x14ac:dyDescent="0.25">
      <c r="A6" s="21" t="s">
        <v>439</v>
      </c>
      <c r="B6" s="22">
        <v>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4AAD7-8E34-4EAE-A346-348D8BED3C17}">
  <dimension ref="A3:B7"/>
  <sheetViews>
    <sheetView workbookViewId="0">
      <selection activeCell="C2" sqref="C2"/>
    </sheetView>
  </sheetViews>
  <sheetFormatPr defaultRowHeight="15" x14ac:dyDescent="0.25"/>
  <cols>
    <col min="1" max="1" width="13.140625" bestFit="1" customWidth="1"/>
    <col min="2" max="2" width="23.7109375" bestFit="1" customWidth="1"/>
    <col min="3" max="3" width="8.28515625" bestFit="1" customWidth="1"/>
    <col min="4" max="4" width="11.28515625" bestFit="1" customWidth="1"/>
    <col min="5" max="5" width="10.140625" bestFit="1" customWidth="1"/>
    <col min="6" max="6" width="13.28515625" bestFit="1" customWidth="1"/>
    <col min="7" max="7" width="11.28515625" bestFit="1" customWidth="1"/>
    <col min="8" max="8" width="14.140625" bestFit="1" customWidth="1"/>
    <col min="9" max="9" width="9.42578125" bestFit="1" customWidth="1"/>
    <col min="10" max="10" width="10.7109375" bestFit="1" customWidth="1"/>
    <col min="11" max="11" width="10.140625" bestFit="1" customWidth="1"/>
    <col min="12" max="12" width="13.28515625" bestFit="1" customWidth="1"/>
    <col min="13" max="13" width="17.42578125" bestFit="1" customWidth="1"/>
    <col min="14" max="14" width="12.5703125" bestFit="1" customWidth="1"/>
    <col min="15" max="15" width="9.42578125" bestFit="1" customWidth="1"/>
    <col min="16" max="16" width="10.7109375" bestFit="1" customWidth="1"/>
    <col min="17" max="17" width="10.140625" bestFit="1" customWidth="1"/>
    <col min="18" max="18" width="13.28515625" bestFit="1" customWidth="1"/>
    <col min="19" max="19" width="15.7109375" bestFit="1" customWidth="1"/>
    <col min="20" max="20" width="11.85546875" bestFit="1" customWidth="1"/>
    <col min="21" max="21" width="9.42578125" bestFit="1" customWidth="1"/>
    <col min="22" max="22" width="10.7109375" bestFit="1" customWidth="1"/>
    <col min="23" max="23" width="10.140625" bestFit="1" customWidth="1"/>
    <col min="24" max="24" width="13.28515625" bestFit="1" customWidth="1"/>
    <col min="25" max="25" width="15" bestFit="1" customWidth="1"/>
    <col min="26" max="26" width="10" bestFit="1" customWidth="1"/>
    <col min="27" max="27" width="9.42578125" bestFit="1" customWidth="1"/>
    <col min="28" max="28" width="10.7109375" bestFit="1" customWidth="1"/>
    <col min="29" max="29" width="10.140625" bestFit="1" customWidth="1"/>
    <col min="30" max="30" width="13.28515625" bestFit="1" customWidth="1"/>
    <col min="31" max="31" width="13.140625" bestFit="1" customWidth="1"/>
    <col min="32" max="32" width="11.28515625" bestFit="1" customWidth="1"/>
  </cols>
  <sheetData>
    <row r="3" spans="1:2" x14ac:dyDescent="0.25">
      <c r="A3" s="20" t="s">
        <v>438</v>
      </c>
      <c r="B3" t="s">
        <v>440</v>
      </c>
    </row>
    <row r="4" spans="1:2" x14ac:dyDescent="0.25">
      <c r="A4" s="21" t="s">
        <v>429</v>
      </c>
      <c r="B4" s="22">
        <v>84</v>
      </c>
    </row>
    <row r="5" spans="1:2" x14ac:dyDescent="0.25">
      <c r="A5" s="21" t="s">
        <v>428</v>
      </c>
      <c r="B5" s="22">
        <v>62</v>
      </c>
    </row>
    <row r="6" spans="1:2" x14ac:dyDescent="0.25">
      <c r="A6" s="21" t="s">
        <v>426</v>
      </c>
      <c r="B6" s="22">
        <v>54</v>
      </c>
    </row>
    <row r="7" spans="1:2" x14ac:dyDescent="0.25">
      <c r="A7" s="21" t="s">
        <v>439</v>
      </c>
      <c r="B7" s="22">
        <v>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86649-98C3-48D4-9378-033C6272A6C7}">
  <dimension ref="A3:B8"/>
  <sheetViews>
    <sheetView workbookViewId="0">
      <selection activeCell="E24" sqref="E24"/>
    </sheetView>
  </sheetViews>
  <sheetFormatPr defaultRowHeight="15" x14ac:dyDescent="0.25"/>
  <cols>
    <col min="1" max="1" width="13.140625" bestFit="1" customWidth="1"/>
    <col min="2" max="2" width="23.7109375" bestFit="1" customWidth="1"/>
  </cols>
  <sheetData>
    <row r="3" spans="1:2" x14ac:dyDescent="0.25">
      <c r="A3" s="20" t="s">
        <v>438</v>
      </c>
      <c r="B3" t="s">
        <v>440</v>
      </c>
    </row>
    <row r="4" spans="1:2" x14ac:dyDescent="0.25">
      <c r="A4" s="21" t="s">
        <v>19</v>
      </c>
      <c r="B4" s="22">
        <v>51</v>
      </c>
    </row>
    <row r="5" spans="1:2" x14ac:dyDescent="0.25">
      <c r="A5" s="21" t="s">
        <v>41</v>
      </c>
      <c r="B5" s="22">
        <v>46</v>
      </c>
    </row>
    <row r="6" spans="1:2" x14ac:dyDescent="0.25">
      <c r="A6" s="21" t="s">
        <v>15</v>
      </c>
      <c r="B6" s="22">
        <v>52</v>
      </c>
    </row>
    <row r="7" spans="1:2" x14ac:dyDescent="0.25">
      <c r="A7" s="21" t="s">
        <v>11</v>
      </c>
      <c r="B7" s="22">
        <v>51</v>
      </c>
    </row>
    <row r="8" spans="1:2" x14ac:dyDescent="0.25">
      <c r="A8" s="21" t="s">
        <v>439</v>
      </c>
      <c r="B8" s="22">
        <v>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9CD9B-E03B-4DD6-8C25-E90B3833EE6E}">
  <dimension ref="A1:B6"/>
  <sheetViews>
    <sheetView workbookViewId="0">
      <selection activeCell="B1" sqref="B1"/>
    </sheetView>
  </sheetViews>
  <sheetFormatPr defaultRowHeight="15" x14ac:dyDescent="0.25"/>
  <cols>
    <col min="1" max="1" width="23.85546875" bestFit="1" customWidth="1"/>
  </cols>
  <sheetData>
    <row r="1" spans="1:2" x14ac:dyDescent="0.25">
      <c r="A1" s="1" t="s">
        <v>499</v>
      </c>
      <c r="B1" s="1">
        <f>COUNTA('cleaned data'!$A$2:$A$201)</f>
        <v>200</v>
      </c>
    </row>
    <row r="2" spans="1:2" x14ac:dyDescent="0.25">
      <c r="A2" s="1" t="s">
        <v>500</v>
      </c>
      <c r="B2" s="1">
        <f>COUNTA('cleaned data'!$CX$2:$CX$51)</f>
        <v>50</v>
      </c>
    </row>
    <row r="3" spans="1:2" x14ac:dyDescent="0.25">
      <c r="A3" s="1" t="s">
        <v>501</v>
      </c>
      <c r="B3" s="1">
        <f>COUNTA('cleaned data'!$CL$2:$CL$11)</f>
        <v>10</v>
      </c>
    </row>
    <row r="4" spans="1:2" x14ac:dyDescent="0.25">
      <c r="A4" s="1" t="s">
        <v>502</v>
      </c>
      <c r="B4" s="1">
        <f>COUNTIF('cleaned data'!$E$2:$E$201,"Completed")</f>
        <v>46</v>
      </c>
    </row>
    <row r="5" spans="1:2" x14ac:dyDescent="0.25">
      <c r="A5" s="1" t="s">
        <v>503</v>
      </c>
      <c r="B5" s="1">
        <f>COUNTIF('cleaned data'!$E$2:$E$201,"Cancelled")</f>
        <v>51</v>
      </c>
    </row>
    <row r="6" spans="1:2" x14ac:dyDescent="0.25">
      <c r="A6" s="1" t="s">
        <v>504</v>
      </c>
      <c r="B6" s="29">
        <f>B4/B1</f>
        <v>0.23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Raw-data</vt:lpstr>
      <vt:lpstr>cleaned data</vt:lpstr>
      <vt:lpstr>change log</vt:lpstr>
      <vt:lpstr>Analysis</vt:lpstr>
      <vt:lpstr>DASHBOARD</vt:lpstr>
      <vt:lpstr>Insights</vt:lpstr>
      <vt:lpstr>dctr&amp;dptmnt</vt:lpstr>
      <vt:lpstr>1.appointment doctor</vt:lpstr>
      <vt:lpstr>3.reason for visit</vt:lpstr>
      <vt:lpstr>2.monthly apntmnt </vt:lpstr>
      <vt:lpstr>4.specialization</vt:lpstr>
      <vt:lpstr>6.gender</vt:lpstr>
      <vt:lpstr>5.hsptlbranch</vt:lpstr>
      <vt:lpstr>7.Status</vt:lpstr>
      <vt:lpstr>KPI cards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2026-09-07T17:17:54Z</dcterms:created>
  <dcterms:modified xsi:type="dcterms:W3CDTF">2026-09-16T16:37:12Z</dcterms:modified>
</cp:coreProperties>
</file>